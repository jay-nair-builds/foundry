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NVDA" sheetId="3" state="visible" r:id="rId5"/>
    <sheet name="NVDA_PnL" sheetId="4" state="visible" r:id="rId6"/>
    <sheet name="META" sheetId="5" state="visible" r:id="rId7"/>
    <sheet name="META_PnL" sheetId="6" state="visible" r:id="rId8"/>
    <sheet name="PE_Benchmarks" sheetId="7" state="visible" r:id="rId9"/>
    <sheet name="Macro" sheetId="8" state="visible" r:id="rId10"/>
    <sheet name="BBS_Scor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StockAnalysis.com, close 18 Sep 2026</t>
        </r>
      </text>
    </comment>
    <comment ref="B6" authorId="0">
      <text>
        <r>
          <rPr>
            <sz val="10"/>
            <rFont val="Arial"/>
            <family val="2"/>
          </rPr>
          <t xml:space="preserve">StockAnalysis.com, 18 Sep 2026</t>
        </r>
      </text>
    </comment>
    <comment ref="B8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9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10" authorId="0">
      <text>
        <r>
          <rPr>
            <sz val="10"/>
            <rFont val="Arial"/>
            <family val="2"/>
          </rPr>
          <t xml:space="preserve">StockAnalysis.com, TTM to latest quarter</t>
        </r>
      </text>
    </comment>
    <comment ref="B11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4" authorId="0">
      <text>
        <r>
          <rPr>
            <sz val="10"/>
            <rFont val="Arial"/>
            <family val="2"/>
          </rPr>
          <t xml:space="preserve">10-year US Treasury constant-maturity yield, 17 Sep 2026 (Federal Reserve H.15)</t>
        </r>
      </text>
    </comment>
    <comment ref="B15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6" authorId="0">
      <text>
        <r>
          <rPr>
            <sz val="10"/>
            <rFont val="Arial"/>
            <family val="2"/>
          </rPr>
          <t xml:space="preserve">StockAnalysis.com (5-year beta)</t>
        </r>
      </text>
    </comment>
    <comment ref="B17" authorId="0">
      <text>
        <r>
          <rPr>
            <sz val="10"/>
            <rFont val="Arial"/>
            <family val="2"/>
          </rPr>
          <t xml:space="preserve">Adjusted beta = weight x raw + (1 - weight) x 1.0 (market beta)</t>
        </r>
      </text>
    </comment>
    <comment ref="B20" authorId="0">
      <text>
        <r>
          <rPr>
            <sz val="10"/>
            <rFont val="Arial"/>
            <family val="2"/>
          </rPr>
          <t xml:space="preserve">Analyst assumption: risk-free rate plus about 0.8%</t>
        </r>
      </text>
    </comment>
    <comment ref="B25" authorId="0">
      <text>
        <r>
          <rPr>
            <sz val="10"/>
            <rFont val="Arial"/>
            <family val="2"/>
          </rPr>
          <t xml:space="preserve">Analyst assumption: limits an unusually low discount rate</t>
        </r>
      </text>
    </comment>
    <comment ref="B26" authorId="0">
      <text>
        <r>
          <rPr>
            <sz val="10"/>
            <rFont val="Arial"/>
            <family val="2"/>
          </rPr>
          <t xml:space="preserve">Analyst assumption: limits an unusually high, beta-driven rate</t>
        </r>
      </text>
    </comment>
    <comment ref="B27" authorId="0">
      <text>
        <r>
          <rPr>
            <sz val="10"/>
            <rFont val="Arial"/>
            <family val="2"/>
          </rPr>
          <t xml:space="preserve">Calculated WACC held between floor and cap</t>
        </r>
      </text>
    </comment>
    <comment ref="B28" authorId="0">
      <text>
        <r>
          <rPr>
            <sz val="10"/>
            <rFont val="Arial"/>
            <family val="2"/>
          </rPr>
          <t xml:space="preserve">Analyst assumption: at or below the risk-free rate</t>
        </r>
      </text>
    </comment>
    <comment ref="B29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F47" authorId="0">
      <text>
        <r>
          <rPr>
            <sz val="10"/>
            <rFont val="Arial"/>
            <family val="2"/>
          </rPr>
          <t xml:space="preserve">Goal Seek this cell so 'Value per share' in F58 equals the share price in B5. Base = 1.00x.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FY2023: $1,353M cost of the terminated Arm acquisition.</t>
        </r>
      </text>
    </comment>
    <comment ref="A19" authorId="0">
      <text>
        <r>
          <rPr>
            <sz val="10"/>
            <rFont val="Arial"/>
            <family val="2"/>
          </rPr>
          <t xml:space="preserve">Interest income less interest expense plus other, net. FY2026 includes $9,022M of other income (gains on investments).</t>
        </r>
      </text>
    </comment>
    <comment ref="A28" authorId="0">
      <text>
        <r>
          <rPr>
            <sz val="10"/>
            <rFont val="Arial"/>
            <family val="2"/>
          </rPr>
          <t xml:space="preserve">Operating cash flow minus capex.</t>
        </r>
      </text>
    </comment>
    <comment ref="A30" authorId="0">
      <text>
        <r>
          <rPr>
            <sz val="10"/>
            <rFont val="Arial"/>
            <family val="2"/>
          </rPr>
          <t xml:space="preserve">Purchases of property, equipment and intangibles.</t>
        </r>
      </text>
    </comment>
    <comment ref="B40" authorId="0">
      <text>
        <r>
          <rPr>
            <sz val="10"/>
            <rFont val="Arial"/>
            <family val="2"/>
          </rPr>
          <t xml:space="preserve">Analyst assumption. Operating expenses are the gap between gross margin and the Base operating margin.</t>
        </r>
      </text>
    </comment>
    <comment ref="B41" authorId="0">
      <text>
        <r>
          <rPr>
            <sz val="10"/>
            <rFont val="Arial"/>
            <family val="2"/>
          </rPr>
          <t xml:space="preserve">Analyst assumption; linear path between year 1 and year 5.</t>
        </r>
      </text>
    </comment>
    <comment ref="B42" authorId="0">
      <text>
        <r>
          <rPr>
            <sz val="10"/>
            <rFont val="Arial"/>
            <family val="2"/>
          </rPr>
          <t xml:space="preserve">Analyst assumption, close to the latest full year.</t>
        </r>
      </text>
    </comment>
    <comment ref="B43" authorId="0">
      <text>
        <r>
          <rPr>
            <sz val="10"/>
            <rFont val="Arial"/>
            <family val="2"/>
          </rPr>
          <t xml:space="preserve">Analyst assumption; excludes one-off investment gains.</t>
        </r>
      </text>
    </comment>
    <comment ref="B44" authorId="0">
      <text>
        <r>
          <rPr>
            <sz val="10"/>
            <rFont val="Arial"/>
            <family val="2"/>
          </rPr>
          <t xml:space="preserve">Analyst assumption. The DCF uses today's share count.</t>
        </r>
      </text>
    </comment>
    <comment ref="B45" authorId="0">
      <text>
        <r>
          <rPr>
            <sz val="10"/>
            <rFont val="Arial"/>
            <family val="2"/>
          </rPr>
          <t xml:space="preserve">Linked to the tax assumption on the company sheet (15%).</t>
        </r>
      </text>
    </comment>
    <comment ref="L8" authorId="0">
      <text>
        <r>
          <rPr>
            <sz val="10"/>
            <rFont val="Arial"/>
            <family val="2"/>
          </rPr>
          <t xml:space="preserve">StockAnalysis.com trailing twelve months to the latest reported quarter; other lines shown where available.</t>
        </r>
      </text>
    </comment>
    <comment ref="M27" authorId="0">
      <text>
        <r>
          <rPr>
            <sz val="10"/>
            <rFont val="Arial"/>
            <family val="2"/>
          </rPr>
          <t xml:space="preserve">Growth of the first forecast period is measured against the latest twelve months.</t>
        </r>
      </text>
    </comment>
    <comment ref="M28" authorId="0">
      <text>
        <r>
          <rPr>
            <sz val="10"/>
            <rFont val="Arial"/>
            <family val="2"/>
          </rPr>
          <t xml:space="preserve">Forecast free cash flow is the DCF's FCFF (free cash flow to the firm) for the Base scenario, so it excludes interest.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StockAnalysis.com, close 18 Sep 2026</t>
        </r>
      </text>
    </comment>
    <comment ref="B6" authorId="0">
      <text>
        <r>
          <rPr>
            <sz val="10"/>
            <rFont val="Arial"/>
            <family val="2"/>
          </rPr>
          <t xml:space="preserve">StockAnalysis.com, 18 Sep 2026</t>
        </r>
      </text>
    </comment>
    <comment ref="B8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9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10" authorId="0">
      <text>
        <r>
          <rPr>
            <sz val="10"/>
            <rFont val="Arial"/>
            <family val="2"/>
          </rPr>
          <t xml:space="preserve">StockAnalysis.com, TTM to latest quarter</t>
        </r>
      </text>
    </comment>
    <comment ref="B11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4" authorId="0">
      <text>
        <r>
          <rPr>
            <sz val="10"/>
            <rFont val="Arial"/>
            <family val="2"/>
          </rPr>
          <t xml:space="preserve">10-year US Treasury constant-maturity yield, 17 Sep 2026 (Federal Reserve H.15)</t>
        </r>
      </text>
    </comment>
    <comment ref="B15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6" authorId="0">
      <text>
        <r>
          <rPr>
            <sz val="10"/>
            <rFont val="Arial"/>
            <family val="2"/>
          </rPr>
          <t xml:space="preserve">StockAnalysis.com (5-year beta)</t>
        </r>
      </text>
    </comment>
    <comment ref="B17" authorId="0">
      <text>
        <r>
          <rPr>
            <sz val="10"/>
            <rFont val="Arial"/>
            <family val="2"/>
          </rPr>
          <t xml:space="preserve">Adjusted beta = weight x raw + (1 - weight) x 1.0 (market beta)</t>
        </r>
      </text>
    </comment>
    <comment ref="B20" authorId="0">
      <text>
        <r>
          <rPr>
            <sz val="10"/>
            <rFont val="Arial"/>
            <family val="2"/>
          </rPr>
          <t xml:space="preserve">Analyst assumption: risk-free rate plus about 0.8%</t>
        </r>
      </text>
    </comment>
    <comment ref="B25" authorId="0">
      <text>
        <r>
          <rPr>
            <sz val="10"/>
            <rFont val="Arial"/>
            <family val="2"/>
          </rPr>
          <t xml:space="preserve">Analyst assumption: limits an unusually low discount rate</t>
        </r>
      </text>
    </comment>
    <comment ref="B26" authorId="0">
      <text>
        <r>
          <rPr>
            <sz val="10"/>
            <rFont val="Arial"/>
            <family val="2"/>
          </rPr>
          <t xml:space="preserve">Analyst assumption: limits an unusually high, beta-driven rate</t>
        </r>
      </text>
    </comment>
    <comment ref="B27" authorId="0">
      <text>
        <r>
          <rPr>
            <sz val="10"/>
            <rFont val="Arial"/>
            <family val="2"/>
          </rPr>
          <t xml:space="preserve">Calculated WACC held between floor and cap</t>
        </r>
      </text>
    </comment>
    <comment ref="B28" authorId="0">
      <text>
        <r>
          <rPr>
            <sz val="10"/>
            <rFont val="Arial"/>
            <family val="2"/>
          </rPr>
          <t xml:space="preserve">Analyst assumption: at or below the risk-free rate</t>
        </r>
      </text>
    </comment>
    <comment ref="B29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F47" authorId="0">
      <text>
        <r>
          <rPr>
            <sz val="10"/>
            <rFont val="Arial"/>
            <family val="2"/>
          </rPr>
          <t xml:space="preserve">Goal Seek this cell so 'Value per share' in F58 equals the share price in B5. Base = 1.00x.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Marketing and sales plus general and administrative. 2019 includes a $5.0B FTC settlement accrual; 2022 includes about $4.6B of restructuring charges (spread across cost lines).</t>
        </r>
      </text>
    </comment>
    <comment ref="A19" authorId="0">
      <text>
        <r>
          <rPr>
            <sz val="10"/>
            <rFont val="Arial"/>
            <family val="2"/>
          </rPr>
          <t xml:space="preserve">Interest and other income, net.</t>
        </r>
      </text>
    </comment>
    <comment ref="A21" authorId="0">
      <text>
        <r>
          <rPr>
            <sz val="10"/>
            <rFont val="Arial"/>
            <family val="2"/>
          </rPr>
          <t xml:space="preserve">Effective tax rate was 11.8% in 2024 and 29.6% in 2025.</t>
        </r>
      </text>
    </comment>
    <comment ref="A28" authorId="0">
      <text>
        <r>
          <rPr>
            <sz val="10"/>
            <rFont val="Arial"/>
            <family val="2"/>
          </rPr>
          <t xml:space="preserve">Operating cash flow minus capex, as reported by Meta. TTM figure derived from market cap divided by price-to-FCF (41.39).</t>
        </r>
      </text>
    </comment>
    <comment ref="A30" authorId="0">
      <text>
        <r>
          <rPr>
            <sz val="10"/>
            <rFont val="Arial"/>
            <family val="2"/>
          </rPr>
          <t xml:space="preserve">Purchases of property and equipment plus finance-lease principal payments, as Meta reports them.</t>
        </r>
      </text>
    </comment>
    <comment ref="B40" authorId="0">
      <text>
        <r>
          <rPr>
            <sz val="10"/>
            <rFont val="Arial"/>
            <family val="2"/>
          </rPr>
          <t xml:space="preserve">Analyst assumption. Operating expenses are the gap between gross margin and the Base operating margin.</t>
        </r>
      </text>
    </comment>
    <comment ref="B41" authorId="0">
      <text>
        <r>
          <rPr>
            <sz val="10"/>
            <rFont val="Arial"/>
            <family val="2"/>
          </rPr>
          <t xml:space="preserve">Analyst assumption; linear path between year 1 and year 5.</t>
        </r>
      </text>
    </comment>
    <comment ref="B42" authorId="0">
      <text>
        <r>
          <rPr>
            <sz val="10"/>
            <rFont val="Arial"/>
            <family val="2"/>
          </rPr>
          <t xml:space="preserve">Analyst assumption, close to the latest full year.</t>
        </r>
      </text>
    </comment>
    <comment ref="B43" authorId="0">
      <text>
        <r>
          <rPr>
            <sz val="10"/>
            <rFont val="Arial"/>
            <family val="2"/>
          </rPr>
          <t xml:space="preserve">Analyst assumption; excludes one-off investment gains.</t>
        </r>
      </text>
    </comment>
    <comment ref="B44" authorId="0">
      <text>
        <r>
          <rPr>
            <sz val="10"/>
            <rFont val="Arial"/>
            <family val="2"/>
          </rPr>
          <t xml:space="preserve">Analyst assumption. The DCF uses today's share count.</t>
        </r>
      </text>
    </comment>
    <comment ref="B45" authorId="0">
      <text>
        <r>
          <rPr>
            <sz val="10"/>
            <rFont val="Arial"/>
            <family val="2"/>
          </rPr>
          <t xml:space="preserve">Linked to the tax assumption on the company sheet (15%).</t>
        </r>
      </text>
    </comment>
    <comment ref="L8" authorId="0">
      <text>
        <r>
          <rPr>
            <sz val="10"/>
            <rFont val="Arial"/>
            <family val="2"/>
          </rPr>
          <t xml:space="preserve">StockAnalysis.com trailing twelve months to the latest reported quarter; other lines shown where available.</t>
        </r>
      </text>
    </comment>
    <comment ref="M27" authorId="0">
      <text>
        <r>
          <rPr>
            <sz val="10"/>
            <rFont val="Arial"/>
            <family val="2"/>
          </rPr>
          <t xml:space="preserve">Growth of the first forecast period is measured against the latest twelve months.</t>
        </r>
      </text>
    </comment>
    <comment ref="M28" authorId="0">
      <text>
        <r>
          <rPr>
            <sz val="10"/>
            <rFont val="Arial"/>
            <family val="2"/>
          </rPr>
          <t xml:space="preserve">Forecast free cash flow is the DCF's FCFF (free cash flow to the firm) for the Base scenario, so it excludes interest.</t>
        </r>
      </text>
    </comment>
  </commentList>
</comments>
</file>

<file path=xl/sharedStrings.xml><?xml version="1.0" encoding="utf-8"?>
<sst xmlns="http://schemas.openxmlformats.org/spreadsheetml/2006/main" count="788" uniqueCount="397">
  <si>
    <t xml:space="preserve">Brand-to-Balance-Sheet (BBS) valuation model: NVIDIA and Meta Platforms</t>
  </si>
  <si>
    <t xml:space="preserve">Brand-to-Balance-Sheet (BBS) method by Jay Nair · github.com/jay-nair-builds/toolkit</t>
  </si>
  <si>
    <t xml:space="preserve">Prices at close on 18 Sep 2026, USD billions unless stated. Education only: not personalised investment advice and not a recommendation to buy, sell or hold.</t>
  </si>
  <si>
    <t xml:space="preserve">HOW THE MODEL WORKS (story, numbers, value)</t>
  </si>
  <si>
    <t xml:space="preserve">1. Story: each scenario starts with a short narrative of how the business evolves (Bear, Base, Bull, and Market-implied).</t>
  </si>
  <si>
    <t xml:space="preserve">2. Numbers: the story is converted into five explicit years of revenue growth, operating margin and cash conversion; years 6-10 fade growth to a long-run rate.</t>
  </si>
  <si>
    <t xml:space="preserve">3. Value: free cash flow to the firm (FCFF) is discounted at the cost of capital, a terminal value is added, cash is added and debt deducted, then divided by shares.</t>
  </si>
  <si>
    <t xml:space="preserve">4. Reverse DCF: the Market-implied case scales the Base growth rates until value per share equals today's price, showing what the market is assuming.</t>
  </si>
  <si>
    <t xml:space="preserve">5. Score: the BBS sheet scores five pillars (brand power, growth, profit quality, balance sheet, valuation) out of 100. Valuation is formula-driven from this model.</t>
  </si>
  <si>
    <t xml:space="preserve">COLOUR CODE</t>
  </si>
  <si>
    <t xml:space="preserve">Blue text = input you can change.  Black text = formula.  Green text = link to another sheet.  Yellow fill = key assumption to stress-test first.</t>
  </si>
  <si>
    <t xml:space="preserve">SHEETS</t>
  </si>
  <si>
    <t xml:space="preserve">Summary: side-by-side results.  NVDA / META: inputs, cost of capital, scenarios, cash flows, valuation and sensitivity.  NVDA_PnL / META_PnL: full income statement, 10 years of history plus 5 forecast periods tied to the Base scenario.  PE_Benchmarks: P/E versus the S&amp;P 500 and industry benchmarks.  Macro: indicators chosen for each company.  BBS_Score: pillar scores and weights.</t>
  </si>
  <si>
    <t xml:space="preserve">TO USE IN GOOGLE SHEETS</t>
  </si>
  <si>
    <t xml:space="preserve">Upload this file to Google Drive, right-click, Open with, Google Sheets. All formulas recalculate. (Excel: just open it.)</t>
  </si>
  <si>
    <t xml:space="preserve">KEY ASSUMPTIONS AND LIMITS (please read)</t>
  </si>
  <si>
    <t xml:space="preserve">Risk-free rate (4.94%) is the 10-year US Treasury yield on 17 Sep 2026 (Federal Reserve H.15). Equity risk premium (4.5%) and pre-tax cost of debt (5.75%, risk-free plus about 0.8%) are analyst assumptions. Update them before relying on any output.</t>
  </si>
  <si>
    <t xml:space="preserve">WACC is built from CAPM with a Blume-adjusted beta, then held between an 8% floor and an 11% cap (yellow cells). The cap binds for NVIDIA (calculated WACC is about 13.1%).</t>
  </si>
  <si>
    <t xml:space="preserve">Year-1 revenue is anchored to company guidance (NVIDIA Q3 FY27 outlook $108B; Meta Q3 2026 outlook $61-64B), not analyst consensus, which was not retrieved.</t>
  </si>
  <si>
    <t xml:space="preserve">Scenario growth, margin and cash-conversion paths are the analyst's estimates, not company forecasts.</t>
  </si>
  <si>
    <t xml:space="preserve">Market data (price, market cap, cash, debt, beta, TTM revenue) comes from one aggregator page per company (StockAnalysis.com, 18 Sep 2026) and was not cross-checked against a second source.</t>
  </si>
  <si>
    <t xml:space="preserve">SOURCES</t>
  </si>
  <si>
    <t xml:space="preserve">StockAnalysis.com NVDA and META statistics pages; NVIDIA and Meta earnings releases (fiscal-year results FY2017-FY2026 and 2016-2025, and Q2 2026); FactSet Earnings Insight (18 Sep 2026); iShares SOXX and SPDR XLC fact sheets; Federal Reserve H.15; BLS CPI; BEA personal income; University of Michigan; SIA; TMT Finance.</t>
  </si>
  <si>
    <t xml:space="preserve">Summary: NVIDIA vs Meta Platforms</t>
  </si>
  <si>
    <t xml:space="preserve">All values link to the company sheets. USD; prices at close 18 Sep 2026. Education only.</t>
  </si>
  <si>
    <t xml:space="preserve">Overview</t>
  </si>
  <si>
    <t xml:space="preserve">Item</t>
  </si>
  <si>
    <t xml:space="preserve">NVDA</t>
  </si>
  <si>
    <t xml:space="preserve">META</t>
  </si>
  <si>
    <t xml:space="preserve">Share price ($)</t>
  </si>
  <si>
    <t xml:space="preserve">WACC used</t>
  </si>
  <si>
    <t xml:space="preserve">Value per share: Bear ($)</t>
  </si>
  <si>
    <t xml:space="preserve">Value per share: Base ($)</t>
  </si>
  <si>
    <t xml:space="preserve">Value per share: Bull ($)</t>
  </si>
  <si>
    <t xml:space="preserve">Value per share: Market-implied ($)</t>
  </si>
  <si>
    <t xml:space="preserve">Base value versus price</t>
  </si>
  <si>
    <t xml:space="preserve">Revenue CAGR to year 5: Base</t>
  </si>
  <si>
    <t xml:space="preserve">Revenue CAGR to year 5: priced in</t>
  </si>
  <si>
    <t xml:space="preserve">Terminal value share of EV: Base</t>
  </si>
  <si>
    <t xml:space="preserve">Implied terminal return on capital: Base</t>
  </si>
  <si>
    <t xml:space="preserve">BBS Score (0-100)</t>
  </si>
  <si>
    <t xml:space="preserve">Read-out: a Base value below the price means the price assumes more than the Base story, under these assumptions. Change the yellow cells on each company sheet to test that.</t>
  </si>
  <si>
    <t xml:space="preserve">Multiples and benchmarks</t>
  </si>
  <si>
    <t xml:space="preserve">Forward P/E (consensus)</t>
  </si>
  <si>
    <t xml:space="preserve">S&amp;P 500 forward P/E</t>
  </si>
  <si>
    <t xml:space="preserve">Industry trailing P/E</t>
  </si>
  <si>
    <t xml:space="preserve">P/E implied by Base value</t>
  </si>
  <si>
    <t xml:space="preserve">Revenue CAGR, last 5 years</t>
  </si>
  <si>
    <t xml:space="preserve">Revenue CAGR, LTM to forecast year 5 (Base)</t>
  </si>
  <si>
    <t xml:space="preserve">NVIDIA (NVDA): intrinsic value build (story, numbers, value)</t>
  </si>
  <si>
    <t xml:space="preserve">USD billions unless stated. Prices at close 18 Sep 2026. Blue = input, black = formula, yellow fill = key assumption.</t>
  </si>
  <si>
    <t xml:space="preserve">1. Market data</t>
  </si>
  <si>
    <t xml:space="preserve">Market capitalisation ($bn)</t>
  </si>
  <si>
    <t xml:space="preserve">Shares outstanding (bn)</t>
  </si>
  <si>
    <t xml:space="preserve">Cash ($bn)</t>
  </si>
  <si>
    <t xml:space="preserve">Total debt ($bn)</t>
  </si>
  <si>
    <t xml:space="preserve">Revenue, last 12 months ($bn)</t>
  </si>
  <si>
    <t xml:space="preserve">Tax rate on operating profit</t>
  </si>
  <si>
    <t xml:space="preserve">2. Cost of capital (build-up)</t>
  </si>
  <si>
    <t xml:space="preserve">Risk-free rate</t>
  </si>
  <si>
    <t xml:space="preserve">Equity risk premium</t>
  </si>
  <si>
    <t xml:space="preserve">Raw beta</t>
  </si>
  <si>
    <t xml:space="preserve">Blume weight on raw beta</t>
  </si>
  <si>
    <t xml:space="preserve">Adjusted beta</t>
  </si>
  <si>
    <t xml:space="preserve">Cost of equity</t>
  </si>
  <si>
    <t xml:space="preserve">Pre-tax cost of debt</t>
  </si>
  <si>
    <t xml:space="preserve">After-tax cost of debt</t>
  </si>
  <si>
    <t xml:space="preserve">Equity weight (market cap / (market cap + debt))</t>
  </si>
  <si>
    <t xml:space="preserve">Debt weight</t>
  </si>
  <si>
    <t xml:space="preserve">WACC (calculated)</t>
  </si>
  <si>
    <t xml:space="preserve">WACC floor</t>
  </si>
  <si>
    <t xml:space="preserve">WACC cap</t>
  </si>
  <si>
    <t xml:space="preserve">Terminal growth rate</t>
  </si>
  <si>
    <t xml:space="preserve">Growth fades to (years 6-10)</t>
  </si>
  <si>
    <t xml:space="preserve">3. Story to numbers: scenario assumptions</t>
  </si>
  <si>
    <t xml:space="preserve">Driver</t>
  </si>
  <si>
    <t xml:space="preserve">Unit</t>
  </si>
  <si>
    <t xml:space="preserve">Bear</t>
  </si>
  <si>
    <t xml:space="preserve">Base</t>
  </si>
  <si>
    <t xml:space="preserve">Bull</t>
  </si>
  <si>
    <t xml:space="preserve">Market-implied</t>
  </si>
  <si>
    <t xml:space="preserve">Story: Bear</t>
  </si>
  <si>
    <t xml:space="preserve">AI infrastructure spending digests: revenue holds near $400B in year 1, then falls as customers pause orders and custom chips take share. Margins compress toward 45%.</t>
  </si>
  <si>
    <t xml:space="preserve">Story: Base</t>
  </si>
  <si>
    <t xml:space="preserve">The build-out continues but decelerates: after a year-1 revenue of about $450B, growth of 25%, 18%, 12% and 8% follows, while margins fade from 62% to 55% as competition rises.</t>
  </si>
  <si>
    <t xml:space="preserve">Story: Bull</t>
  </si>
  <si>
    <t xml:space="preserve">Demand compounds: revenue passes $1.1 trillion by year 5 with margins above 60%, and the platform stays the industry standard.</t>
  </si>
  <si>
    <t xml:space="preserve">Story: Market-implied</t>
  </si>
  <si>
    <t xml:space="preserve">What today's price requires: the Base story with growth in years 2-5 scaled up until value per share equals the price (see the scale factor in F47).</t>
  </si>
  <si>
    <t xml:space="preserve">Year-1 revenue (next 12 months)</t>
  </si>
  <si>
    <t xml:space="preserve">$bn</t>
  </si>
  <si>
    <t xml:space="preserve">Revenue growth, year 2</t>
  </si>
  <si>
    <t xml:space="preserve">%</t>
  </si>
  <si>
    <t xml:space="preserve">Revenue growth, year 3</t>
  </si>
  <si>
    <t xml:space="preserve">Revenue growth, year 4</t>
  </si>
  <si>
    <t xml:space="preserve">Revenue growth, year 5</t>
  </si>
  <si>
    <t xml:space="preserve">Operating margin, year 1</t>
  </si>
  <si>
    <t xml:space="preserve">Operating margin, year 5 (held to year 10)</t>
  </si>
  <si>
    <t xml:space="preserve">Cash conversion, year 1 (FCFF / after-tax operating profit)</t>
  </si>
  <si>
    <t xml:space="preserve">Cash conversion, year 5 (held to year 10)</t>
  </si>
  <si>
    <t xml:space="preserve">Growth scale factor (Market-implied only)</t>
  </si>
  <si>
    <t xml:space="preserve">x</t>
  </si>
  <si>
    <t xml:space="preserve">Goal Seek F58 to equal B5 by changing F47</t>
  </si>
  <si>
    <t xml:space="preserve">4. Valuation summary</t>
  </si>
  <si>
    <t xml:space="preserve">PV of FCFF, years 1-10</t>
  </si>
  <si>
    <t xml:space="preserve">Terminal value at year 10</t>
  </si>
  <si>
    <t xml:space="preserve">PV of terminal value</t>
  </si>
  <si>
    <t xml:space="preserve">Enterprise value (operating assets)</t>
  </si>
  <si>
    <t xml:space="preserve">Plus: cash</t>
  </si>
  <si>
    <t xml:space="preserve">Less: debt</t>
  </si>
  <si>
    <t xml:space="preserve">Equity value</t>
  </si>
  <si>
    <t xml:space="preserve">Value per share</t>
  </si>
  <si>
    <t xml:space="preserve">$</t>
  </si>
  <si>
    <t xml:space="preserve">Share price</t>
  </si>
  <si>
    <t xml:space="preserve">Value versus price</t>
  </si>
  <si>
    <t xml:space="preserve">Terminal value as % of enterprise value</t>
  </si>
  <si>
    <t xml:space="preserve">Terminal reinvestment rate (1 - cash conversion)</t>
  </si>
  <si>
    <t xml:space="preserve">Implied terminal return on capital (g / reinvestment rate)</t>
  </si>
  <si>
    <t xml:space="preserve">Revenue CAGR, last 12 months to year 5</t>
  </si>
  <si>
    <t xml:space="preserve">5. Cash-flow projections (FCFF) by scenario</t>
  </si>
  <si>
    <t xml:space="preserve">Bear scenario</t>
  </si>
  <si>
    <t xml:space="preserve">Year</t>
  </si>
  <si>
    <t xml:space="preserve">Revenue ($bn)</t>
  </si>
  <si>
    <t xml:space="preserve">Revenue growth</t>
  </si>
  <si>
    <t xml:space="preserve">Operating margin</t>
  </si>
  <si>
    <t xml:space="preserve">Operating profit (EBIT)</t>
  </si>
  <si>
    <t xml:space="preserve">After-tax operating profit</t>
  </si>
  <si>
    <t xml:space="preserve">Cash conversion</t>
  </si>
  <si>
    <t xml:space="preserve">Reinvestment</t>
  </si>
  <si>
    <t xml:space="preserve">Free cash flow to firm (FCFF)</t>
  </si>
  <si>
    <t xml:space="preserve">Discount factor</t>
  </si>
  <si>
    <t xml:space="preserve">Present value of FCFF</t>
  </si>
  <si>
    <t xml:space="preserve">Base scenario</t>
  </si>
  <si>
    <t xml:space="preserve">Bull scenario</t>
  </si>
  <si>
    <t xml:space="preserve">Market-implied scenario</t>
  </si>
  <si>
    <t xml:space="preserve">6. Sensitivity: Base value per share by discount rate and terminal growth</t>
  </si>
  <si>
    <t xml:space="preserve">WACC step</t>
  </si>
  <si>
    <t xml:space="preserve">Terminal growth rate (columns) / WACC (rows)</t>
  </si>
  <si>
    <t xml:space="preserve">Centre cell (0 step, 3.0% growth) equals the Base value per share in D58. Bold cells in the web report are those at or above the share price.</t>
  </si>
  <si>
    <t xml:space="preserve">NVIDIA: income statement, 10 years of history and 5 forecast periods</t>
  </si>
  <si>
    <t xml:space="preserve">USD millions except per-share data. Fiscal years end late January (FY2026 = year ended 25 Jan 2026). Forecast columns are 12-month periods from the valuation date (NTM = next twelve months, to Sep-27) and link to the Base scenario on the NVDA sheet. Blue = input, black = formula, green = link.</t>
  </si>
  <si>
    <t xml:space="preserve">Period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</si>
  <si>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</si>
  <si>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</si>
  <si>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</si>
  <si>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</si>
  <si>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</si>
  <si>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</si>
  <si>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</si>
  <si>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</si>
  <si>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</si>
  <si>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</si>
  <si>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TTM Jul-26</t>
  </si>
  <si>
    <t xml:space="preserve">NTM</t>
  </si>
  <si>
    <t xml:space="preserve">Year 2</t>
  </si>
  <si>
    <t xml:space="preserve">Year 3</t>
  </si>
  <si>
    <t xml:space="preserve">Year 4</t>
  </si>
  <si>
    <t xml:space="preserve">Year 5</t>
  </si>
  <si>
    <t xml:space="preserve">Period end</t>
  </si>
  <si>
    <t xml:space="preserve">Jan-17</t>
  </si>
  <si>
    <t xml:space="preserve">Jan-18</t>
  </si>
  <si>
    <t xml:space="preserve">Jan-19</t>
  </si>
  <si>
    <t xml:space="preserve">Jan-20</t>
  </si>
  <si>
    <t xml:space="preserve">Jan-21</t>
  </si>
  <si>
    <t xml:space="preserve">Jan-22</t>
  </si>
  <si>
    <t xml:space="preserve">Jan-23</t>
  </si>
  <si>
    <t xml:space="preserve">Jan-24</t>
  </si>
  <si>
    <t xml:space="preserve">Jan-25</t>
  </si>
  <si>
    <t xml:space="preserve">Jan-26</t>
  </si>
  <si>
    <t xml:space="preserve">Sep-27</t>
  </si>
  <si>
    <t xml:space="preserve">Sep-28</t>
  </si>
  <si>
    <t xml:space="preserve">Sep-29</t>
  </si>
  <si>
    <t xml:space="preserve">Sep-30</t>
  </si>
  <si>
    <t xml:space="preserve">Sep-31</t>
  </si>
  <si>
    <t xml:space="preserve">Basis</t>
  </si>
  <si>
    <t xml:space="preserve">Actual</t>
  </si>
  <si>
    <t xml:space="preserve">Latest 12m</t>
  </si>
  <si>
    <t xml:space="preserve">Base forecast</t>
  </si>
  <si>
    <t xml:space="preserve">Forecast year</t>
  </si>
  <si>
    <t xml:space="preserve">Revenue</t>
  </si>
  <si>
    <t xml:space="preserve">  Revenue growth</t>
  </si>
  <si>
    <t xml:space="preserve">Cost of revenue</t>
  </si>
  <si>
    <t xml:space="preserve">Gross profit</t>
  </si>
  <si>
    <t xml:space="preserve">  Gross margin</t>
  </si>
  <si>
    <t xml:space="preserve">Research and development</t>
  </si>
  <si>
    <t xml:space="preserve">Sales, general and administrative</t>
  </si>
  <si>
    <t xml:space="preserve">Other operating items</t>
  </si>
  <si>
    <t xml:space="preserve">Total operating expenses</t>
  </si>
  <si>
    <t xml:space="preserve">Operating income (EBIT)</t>
  </si>
  <si>
    <t xml:space="preserve">  Operating margin</t>
  </si>
  <si>
    <t xml:space="preserve">Interest and other income, net</t>
  </si>
  <si>
    <t xml:space="preserve">Income before tax</t>
  </si>
  <si>
    <t xml:space="preserve">Income tax</t>
  </si>
  <si>
    <t xml:space="preserve">  Effective tax rate</t>
  </si>
  <si>
    <t xml:space="preserve">Net income</t>
  </si>
  <si>
    <t xml:space="preserve">  Net margin</t>
  </si>
  <si>
    <t xml:space="preserve">Diluted shares (millions)</t>
  </si>
  <si>
    <t xml:space="preserve">Diluted EPS ($)</t>
  </si>
  <si>
    <t xml:space="preserve">  EPS growth</t>
  </si>
  <si>
    <t xml:space="preserve">Free cash flow</t>
  </si>
  <si>
    <t xml:space="preserve">  Free cash flow margin</t>
  </si>
  <si>
    <t xml:space="preserve">Capital expenditure</t>
  </si>
  <si>
    <t xml:space="preserve">  Capex as % of revenue</t>
  </si>
  <si>
    <t xml:space="preserve">Integrity checks (history)</t>
  </si>
  <si>
    <t xml:space="preserve">Operating income as reported</t>
  </si>
  <si>
    <t xml:space="preserve">  Difference from calculated (should be 0)</t>
  </si>
  <si>
    <t xml:space="preserve">Net income as reported</t>
  </si>
  <si>
    <t xml:space="preserve">Forecast assumptions (edit the blue cells; revenue, operating margin and free cash flow come from the Base scenario)</t>
  </si>
  <si>
    <t xml:space="preserve">Gross margin, forecast year 1</t>
  </si>
  <si>
    <t xml:space="preserve">Gross margin, forecast year 5</t>
  </si>
  <si>
    <t xml:space="preserve">R&amp;D as share of operating expenses</t>
  </si>
  <si>
    <t xml:space="preserve">Interest and other income, % of revenue</t>
  </si>
  <si>
    <t xml:space="preserve">Change in diluted shares per year</t>
  </si>
  <si>
    <t xml:space="preserve">Tax rate on profit before tax</t>
  </si>
  <si>
    <t xml:space="preserve">Growth and margin summary</t>
  </si>
  <si>
    <t xml:space="preserve">Revenue CAGR, last 3 years</t>
  </si>
  <si>
    <t xml:space="preserve">Revenue CAGR, last 9 years</t>
  </si>
  <si>
    <t xml:space="preserve">Revenue CAGR, latest 12 months to forecast year 5</t>
  </si>
  <si>
    <t xml:space="preserve">Average operating margin, 10 years</t>
  </si>
  <si>
    <t xml:space="preserve">Operating margin, latest full year</t>
  </si>
  <si>
    <t xml:space="preserve">Operating margin, forecast year 5</t>
  </si>
  <si>
    <t xml:space="preserve">EPS CAGR, last 9 years</t>
  </si>
  <si>
    <t xml:space="preserve">EPS CAGR, latest 12 months to forecast year 5</t>
  </si>
  <si>
    <t xml:space="preserve">Sources: company earnings releases (fiscal-year results) for FY history; StockAnalysis.com for trailing twelve months. Forecast lines are analyst estimates, not company guidance.</t>
  </si>
  <si>
    <t xml:space="preserve">Meta Platforms (META): intrinsic value build (story, numbers, value)</t>
  </si>
  <si>
    <t xml:space="preserve">Advertising growth cools to low single digits while AI spending keeps free cash flow thin; operating margin drifts down toward 28%.</t>
  </si>
  <si>
    <t xml:space="preserve">Advertising keeps growing at a double-digit rate that fades to 8%; margin edges from 34% to 36% and cash conversion recovers from 55% to 75% as AI capital spending eases.</t>
  </si>
  <si>
    <t xml:space="preserve">AI lifts ad pricing and engagement: growth runs 18% fading to 10%, margin reaches 42% and cash conversion 85%.</t>
  </si>
  <si>
    <t xml:space="preserve">Meta Platforms: income statement, 10 years of history and 5 forecast periods</t>
  </si>
  <si>
    <t xml:space="preserve">USD millions except per-share data. Fiscal years end 31 December. Forecast columns are 12-month periods from the valuation date (NTM = next twelve months, to Sep-27) and link to the Base scenario on the META sheet. Blue = input, black = formula, green = link.</t>
  </si>
  <si>
    <t xml:space="preserve">FY2016</t>
  </si>
  <si>
    <t xml:space="preserve">TTM Jun-26</t>
  </si>
  <si>
    <t xml:space="preserve">Dec-16</t>
  </si>
  <si>
    <t xml:space="preserve">Dec-17</t>
  </si>
  <si>
    <t xml:space="preserve">Dec-18</t>
  </si>
  <si>
    <t xml:space="preserve">Dec-19</t>
  </si>
  <si>
    <t xml:space="preserve">Dec-20</t>
  </si>
  <si>
    <t xml:space="preserve">Dec-21</t>
  </si>
  <si>
    <t xml:space="preserve">Dec-22</t>
  </si>
  <si>
    <t xml:space="preserve">Dec-23</t>
  </si>
  <si>
    <t xml:space="preserve">Dec-24</t>
  </si>
  <si>
    <t xml:space="preserve">Dec-25</t>
  </si>
  <si>
    <t xml:space="preserve">P/E ratio versus market and industry benchmarks</t>
  </si>
  <si>
    <t xml:space="preserve">Prices at close 18 Sep 2026. Multiples come from different providers and methods, so use them as guides rather than exact comparisons. Blue = input, black = formula, green = link.</t>
  </si>
  <si>
    <t xml:space="preserve">1. Company multiples</t>
  </si>
  <si>
    <t xml:space="preserve">Source and note</t>
  </si>
  <si>
    <t xml:space="preserve">Company sheets</t>
  </si>
  <si>
    <t xml:space="preserve">Trailing EPS, last 12 months ($)</t>
  </si>
  <si>
    <t xml:space="preserve">P&amp;L sheets (StockAnalysis.com TTM)</t>
  </si>
  <si>
    <t xml:space="preserve">Trailing P/E (calculated)</t>
  </si>
  <si>
    <t xml:space="preserve">Price ÷ trailing EPS</t>
  </si>
  <si>
    <t xml:space="preserve">Trailing P/E (StockAnalysis.com)</t>
  </si>
  <si>
    <t xml:space="preserve">StockAnalysis.com statistics pages, 19 Sep 2026</t>
  </si>
  <si>
    <t xml:space="preserve">Forward P/E (consensus-based)</t>
  </si>
  <si>
    <t xml:space="preserve">StockAnalysis.com statistics pages, 19 Sep 2026; based on analyst consensus estimates</t>
  </si>
  <si>
    <t xml:space="preserve">Implied consensus forward EPS ($)</t>
  </si>
  <si>
    <t xml:space="preserve">Price ÷ forward P/E</t>
  </si>
  <si>
    <t xml:space="preserve">PEG ratio</t>
  </si>
  <si>
    <t xml:space="preserve">StockAnalysis.com; forward P/E divided by expected earnings growth</t>
  </si>
  <si>
    <t xml:space="preserve">EV/EBITDA</t>
  </si>
  <si>
    <t xml:space="preserve">StockAnalysis.com</t>
  </si>
  <si>
    <t xml:space="preserve">Price/sales</t>
  </si>
  <si>
    <t xml:space="preserve">2. Benchmarks (one value each)</t>
  </si>
  <si>
    <t xml:space="preserve">Value</t>
  </si>
  <si>
    <t xml:space="preserve">S&amp;P 500 forward 12-month P/E</t>
  </si>
  <si>
    <t xml:space="preserve">FactSet Earnings Insight, 18 Sep 2026</t>
  </si>
  <si>
    <t xml:space="preserve">S&amp;P 500 forward P/E, 5-year average</t>
  </si>
  <si>
    <t xml:space="preserve">S&amp;P 500 forward P/E, 10-year average</t>
  </si>
  <si>
    <t xml:space="preserve">S&amp;P 500 trailing 12-month P/E</t>
  </si>
  <si>
    <t xml:space="preserve">Semiconductors: trailing P/E</t>
  </si>
  <si>
    <t xml:space="preserve">iShares Semiconductor ETF (SOXX) fund P/E, 16 Sep 2026. Forward P/E not published on the fact sheet.</t>
  </si>
  <si>
    <t xml:space="preserve">Communication services: trailing P/E</t>
  </si>
  <si>
    <t xml:space="preserve">Communication Services Select Sector SPDR (XLC) fund P/E, 17 Sep 2026. Includes telecom and legacy media, which trade at lower multiples than Meta.</t>
  </si>
  <si>
    <t xml:space="preserve">Communication services: forward P/E</t>
  </si>
  <si>
    <t xml:space="preserve">XLC fund forward P/E, 17 Sep 2026</t>
  </si>
  <si>
    <t xml:space="preserve">Industry benchmark used for each company</t>
  </si>
  <si>
    <t xml:space="preserve">NVDA: semiconductors. META: communication services.</t>
  </si>
  <si>
    <t xml:space="preserve">Industry forward P/E</t>
  </si>
  <si>
    <t xml:space="preserve">n/a</t>
  </si>
  <si>
    <t xml:space="preserve">3. Premium or discount</t>
  </si>
  <si>
    <t xml:space="preserve">Trailing P/E versus S&amp;P 500</t>
  </si>
  <si>
    <t xml:space="preserve">Trailing P/E versus industry</t>
  </si>
  <si>
    <t xml:space="preserve">Forward P/E versus S&amp;P 500</t>
  </si>
  <si>
    <t xml:space="preserve">Forward P/E versus S&amp;P 500 10-year average</t>
  </si>
  <si>
    <t xml:space="preserve">Forward P/E versus industry</t>
  </si>
  <si>
    <t xml:space="preserve">4. What our Base value implies for the P/E</t>
  </si>
  <si>
    <t xml:space="preserve">Base value per share ($)</t>
  </si>
  <si>
    <t xml:space="preserve">DCF Base scenario</t>
  </si>
  <si>
    <t xml:space="preserve">P/E implied by Base value (on consensus forward EPS)</t>
  </si>
  <si>
    <t xml:space="preserve">Base value ÷ implied consensus forward EPS</t>
  </si>
  <si>
    <t xml:space="preserve">  versus S&amp;P 500 forward P/E</t>
  </si>
  <si>
    <t xml:space="preserve">Model EPS, next 12 months (Base) ($)</t>
  </si>
  <si>
    <t xml:space="preserve">P&amp;L sheets, first forecast period</t>
  </si>
  <si>
    <t xml:space="preserve">P/E at today's price on model EPS</t>
  </si>
  <si>
    <t xml:space="preserve">Price ÷ model NTM EPS</t>
  </si>
  <si>
    <t xml:space="preserve">Consensus forward EPS versus model NTM EPS</t>
  </si>
  <si>
    <t xml:space="preserve">Positive means the market's earnings expectation is above our Base year 1</t>
  </si>
  <si>
    <t xml:space="preserve">P/E implied by Base value (on trailing EPS)</t>
  </si>
  <si>
    <t xml:space="preserve">Base value ÷ trailing 12-month EPS</t>
  </si>
  <si>
    <t xml:space="preserve">Method note: company P/Es come from a data aggregator, the S&amp;P 500 from FactSet, and industry P/Es from fund fact sheets. Definitions differ, so differences of a few points are not meaningful.</t>
  </si>
  <si>
    <t xml:space="preserve">Macro backdrop: indicators chosen for each company</t>
  </si>
  <si>
    <t xml:space="preserve">Indicators are selected by how the company earns money: consumer and inflation gauges for advertising-led Meta, capital-spending, chip-demand and policy gauges for Nvidia. Readings are as published; the direction column is the analyst's read.</t>
  </si>
  <si>
    <t xml:space="preserve">1. Relevance matrix (how strongly each indicator drives the company)</t>
  </si>
  <si>
    <t xml:space="preserve">Indicator</t>
  </si>
  <si>
    <t xml:space="preserve">Consumer sentiment</t>
  </si>
  <si>
    <t xml:space="preserve">Low</t>
  </si>
  <si>
    <t xml:space="preserve">High</t>
  </si>
  <si>
    <t xml:space="preserve">Inflation and energy costs</t>
  </si>
  <si>
    <t xml:space="preserve">Med</t>
  </si>
  <si>
    <t xml:space="preserve">Disposable income and spending</t>
  </si>
  <si>
    <t xml:space="preserve">Interest rates and bond yields</t>
  </si>
  <si>
    <t xml:space="preserve">Hyperscaler capital spending</t>
  </si>
  <si>
    <t xml:space="preserve">Global chip demand and supply</t>
  </si>
  <si>
    <t xml:space="preserve">Trade and export policy</t>
  </si>
  <si>
    <t xml:space="preserve">2. NVIDIA: selected indicators. Net read: Demand is a tailwind; the price of money is the headwind.</t>
  </si>
  <si>
    <t xml:space="preserve">Company</t>
  </si>
  <si>
    <t xml:space="preserve">Latest reading</t>
  </si>
  <si>
    <t xml:space="preserve">Direction</t>
  </si>
  <si>
    <t xml:space="preserve">Why it matters for this company</t>
  </si>
  <si>
    <t xml:space="preserve">Source</t>
  </si>
  <si>
    <t xml:space="preserve">$720–745B planned for 2026 by Alphabet, Amazon, Meta and Microsoft</t>
  </si>
  <si>
    <t xml:space="preserve">Guidance as of 18 Aug 2026</t>
  </si>
  <si>
    <t xml:space="preserve">Tailwind</t>
  </si>
  <si>
    <t xml:space="preserve">These four are Nvidia's largest customers: their budgets are Nvidia's revenue pool. Funding is stretched: Meta's Q2 free cash flow was $0.8B and Amazon's trailing free cash flow is negative.</t>
  </si>
  <si>
    <t xml:space="preserve">https://www.tmtfinance.com/intel/2026-hyperscaler-capex-tops-us700bn-analysis</t>
  </si>
  <si>
    <t xml:space="preserve">Global chip demand</t>
  </si>
  <si>
    <t xml:space="preserve">Sales of $146.8B in July, up 135% on a year ago, the 17th straight monthly rise</t>
  </si>
  <si>
    <t xml:space="preserve">Jul 2026, 3-month average</t>
  </si>
  <si>
    <t xml:space="preserve">A broad upswing in chip demand supports volumes and pricing across the supply chain. The Americas grew fastest (+171%).</t>
  </si>
  <si>
    <t xml:space="preserve">https://www.semiconductors.org/global-semiconductor-sales-increase-6-4-month-to-month-in-july/</t>
  </si>
  <si>
    <t xml:space="preserve">Interest rates</t>
  </si>
  <si>
    <t xml:space="preserve">Fed funds 3.75–4.00% after a 25 bp hike; 10-year Treasury at 4.94%</t>
  </si>
  <si>
    <t xml:space="preserve">16–17 Sep 2026</t>
  </si>
  <si>
    <t xml:space="preserve">Headwind</t>
  </si>
  <si>
    <t xml:space="preserve">Higher yields raise the discount rate. With a beta above 2, Nvidia's calculated cost of capital is 13.1%; we cap it at 11%, so the result is generous.</t>
  </si>
  <si>
    <t xml:space="preserve">https://www.advisorperspectives.com/dshort/updates/2026/09/16/feds-interest-rate-decision-september-16-2026</t>
  </si>
  <si>
    <t xml:space="preserve">CPI +3.4% year on year; energy +16.3%</t>
  </si>
  <si>
    <t xml:space="preserve">Aug 2026</t>
  </si>
  <si>
    <t xml:space="preserve">Mixed</t>
  </si>
  <si>
    <t xml:space="preserve">Power is a large running cost for AI data centres, which squeezes customers' returns on each chip. The direct effect on Nvidia's own costs is small.</t>
  </si>
  <si>
    <t xml:space="preserve">https://www.bls.gov/news.release/cpi.nr0.htm</t>
  </si>
  <si>
    <t xml:space="preserve">US licences allow limited H200 sales to China; press reports say 25% of that revenue goes to the US government</t>
  </si>
  <si>
    <t xml:space="preserve">Feb–Apr 2026</t>
  </si>
  <si>
    <t xml:space="preserve">China access is partial and politically dependent. It is upside to our Base case only if volumes grow; it is not assumed in the numbers.</t>
  </si>
  <si>
    <t xml:space="preserve">https://www.bloomberg.com/news/articles/2026-02-26/nvidia-gets-us-license-for-small-amount-of-h200-exports-to-china</t>
  </si>
  <si>
    <t xml:space="preserve">Consumer demand (gaming and edge)</t>
  </si>
  <si>
    <t xml:space="preserve">Edge computing is 7.5% of revenue; consumer sentiment 47.8</t>
  </si>
  <si>
    <t xml:space="preserve">Q2 FY2027; Sep 2026</t>
  </si>
  <si>
    <t xml:space="preserve">Low relevance</t>
  </si>
  <si>
    <t xml:space="preserve">Consumer indicators matter little here because about 92% of revenue comes from data-centre customers.</t>
  </si>
  <si>
    <t xml:space="preserve">https://www.academic-capital.com/2026/09/september-2026-university-of-michigan.html</t>
  </si>
  <si>
    <t xml:space="preserve">3. Meta Platforms: selected indicators. Net read: The consumer backdrop is soft, and rates and AI input costs add pressure.</t>
  </si>
  <si>
    <t xml:space="preserve">47.8, down from 51.7 in August and 55.1 a year ago</t>
  </si>
  <si>
    <t xml:space="preserve">Sep 2026, preliminary</t>
  </si>
  <si>
    <t xml:space="preserve">Advertisers cut budgets when their own customers turn cautious. Meta's ad revenue follows retail and consumer spending closely.</t>
  </si>
  <si>
    <t xml:space="preserve">Inflation</t>
  </si>
  <si>
    <t xml:space="preserve">CPI +3.4% (core +2.4%); gasoline +27.4%; PCE prices +3.7%</t>
  </si>
  <si>
    <t xml:space="preserve">Aug and Jul 2026</t>
  </si>
  <si>
    <t xml:space="preserve">Fuel-led inflation squeezes household budgets and the marketing budgets of consumer brands, Meta's core advertisers.</t>
  </si>
  <si>
    <t xml:space="preserve">Real disposable income +0.4% in July; real spending up less than 0.1%; saving rate 3.0%</t>
  </si>
  <si>
    <t xml:space="preserve">Jul 2026, month on month</t>
  </si>
  <si>
    <t xml:space="preserve">Incomes are still growing, but a saving rate of 3.0% leaves little cushion if spending pulls back.</t>
  </si>
  <si>
    <t xml:space="preserve">https://www.bea.gov/news/2026/personal-income-and-outlays-july-2026</t>
  </si>
  <si>
    <t xml:space="preserve">Fed funds 3.75–4.00%; 10-year Treasury at 4.94%</t>
  </si>
  <si>
    <t xml:space="preserve">Raises the discount rate (Meta's rises to 9.8% in our model) and the cost of the debt funding AI spending: Meta added $24.9B of new debt.</t>
  </si>
  <si>
    <t xml:space="preserve">AI input costs (chips, power)</t>
  </si>
  <si>
    <t xml:space="preserve">2026 capex plan $130–145B; global chip sales +135% on a year ago</t>
  </si>
  <si>
    <t xml:space="preserve">Raw materials for Meta are compute and energy. Strong chip demand competes with Meta for supply and keeps prices firm, which weighs on free cash flow.</t>
  </si>
  <si>
    <t xml:space="preserve">Ad demand so far</t>
  </si>
  <si>
    <t xml:space="preserve">Ad impressions +14% and price per ad +12%</t>
  </si>
  <si>
    <t xml:space="preserve">Q2 2026, year on year</t>
  </si>
  <si>
    <t xml:space="preserve">The company's own data shows no visible damage yet from weak sentiment. This is the indicator to watch for change.</t>
  </si>
  <si>
    <t xml:space="preserve">https://investor.atmeta.com/investor-news/press-release-details/2026/Meta-Reports-Second-Quarter-2026-Results/default.aspx</t>
  </si>
  <si>
    <t xml:space="preserve">Cost of capital link: the risk-free rate on the company sheets is the 10-year Treasury yield above (4.94%).</t>
  </si>
  <si>
    <t xml:space="preserve">BBS Score: Brand-to-Balance-Sheet scorecard</t>
  </si>
  <si>
    <t xml:space="preserve">Each pillar is scored 1-10 by the analyst (blue) except Valuation Gap, which is formula-driven from the DCF. Total = weighted average x 10 (0-100).</t>
  </si>
  <si>
    <t xml:space="preserve">Pillar scores</t>
  </si>
  <si>
    <t xml:space="preserve">Pillar</t>
  </si>
  <si>
    <t xml:space="preserve">Weight</t>
  </si>
  <si>
    <t xml:space="preserve">Evidence: NVIDIA</t>
  </si>
  <si>
    <t xml:space="preserve">Evidence: Meta</t>
  </si>
  <si>
    <t xml:space="preserve">Brand Power</t>
  </si>
  <si>
    <t xml:space="preserve">75% gross margin (pricing power); customers are a few very large buyers.</t>
  </si>
  <si>
    <t xml:space="preserve">3.60B daily users (+3%); price per ad +12%; youth-safety trials flagged as a possible material loss.</t>
  </si>
  <si>
    <t xml:space="preserve">Growth Engine</t>
  </si>
  <si>
    <t xml:space="preserve">Q2 FY27 revenue +106% YoY; next quarter guided to $108B.</t>
  </si>
  <si>
    <t xml:space="preserve">Q2 2026 revenue +28% YoY; next quarter guided to $61-64B.</t>
  </si>
  <si>
    <t xml:space="preserve">Profit Quality</t>
  </si>
  <si>
    <t xml:space="preserve">65% operating margin, 92% ROIC, $127B TTM free cash flow.</t>
  </si>
  <si>
    <t xml:space="preserve">38% TTM operating margin but 31% in Q2 (43% a year ago); about $41B TTM free cash flow.</t>
  </si>
  <si>
    <t xml:space="preserve">Balance-Sheet Strength</t>
  </si>
  <si>
    <t xml:space="preserve">Net cash about $24B; about $26B returned to shareholders in Q2.</t>
  </si>
  <si>
    <t xml:space="preserve">Debt exceeds cash by about $22B; Q2 free cash flow $0.8B after $31B capex; no buybacks in Q2.</t>
  </si>
  <si>
    <t xml:space="preserve">Valuation Gap (formula)</t>
  </si>
  <si>
    <t xml:space="preserve">6 = fairly priced; each 10 points of margin of safety (Base value versus price) moves the score by one point.</t>
  </si>
  <si>
    <t xml:space="preserve">Weights must total 100%</t>
  </si>
  <si>
    <t xml:space="preserve">Band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</si>
</sst>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0%;\(0.00%\);\-"/>
    <numFmt numFmtId="167" formatCode="0.0%;\(0.0%\);\-"/>
    <numFmt numFmtId="168" formatCode="0"/>
    <numFmt numFmtId="169" formatCode="0.00\x"/>
    <numFmt numFmtId="170" formatCode="\$#,##0.0;&quot;($&quot;#,##0.0\);\-"/>
    <numFmt numFmtId="171" formatCode="0.000"/>
    <numFmt numFmtId="172" formatCode="0.00"/>
    <numFmt numFmtId="173" formatCode="0.0000"/>
    <numFmt numFmtId="174" formatCode="\$#,##0;&quot;($&quot;#,##0\);\-"/>
    <numFmt numFmtId="175" formatCode="#,##0;\(#,##0\);\-"/>
    <numFmt numFmtId="17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B2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3B2E"/>
        <bgColor rgb="FF003366"/>
      </patternFill>
    </fill>
    <fill>
      <patternFill patternType="solid">
        <fgColor rgb="FFE7EFEA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B3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4" t="s">
        <v>4</v>
      </c>
    </row>
    <row r="7" customFormat="false" ht="23.85" hidden="false" customHeight="false" outlineLevel="0" collapsed="false">
      <c r="B7" s="4" t="s">
        <v>5</v>
      </c>
    </row>
    <row r="8" customFormat="false" ht="23.85" hidden="false" customHeight="false" outlineLevel="0" collapsed="false">
      <c r="B8" s="4" t="s">
        <v>6</v>
      </c>
    </row>
    <row r="9" customFormat="false" ht="23.85" hidden="false" customHeight="false" outlineLevel="0" collapsed="false">
      <c r="B9" s="4" t="s">
        <v>7</v>
      </c>
    </row>
    <row r="10" customFormat="false" ht="23.8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2" t="s">
        <v>11</v>
      </c>
    </row>
    <row r="16" customFormat="false" ht="35.0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2" t="s">
        <v>15</v>
      </c>
    </row>
    <row r="22" customFormat="false" ht="23.85" hidden="false" customHeight="false" outlineLevel="0" collapsed="false">
      <c r="B22" s="4" t="s">
        <v>16</v>
      </c>
    </row>
    <row r="23" customFormat="false" ht="23.85" hidden="false" customHeight="false" outlineLevel="0" collapsed="false">
      <c r="B23" s="4" t="s">
        <v>17</v>
      </c>
    </row>
    <row r="24" customFormat="false" ht="23.8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23.8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/>
    </row>
    <row r="28" customFormat="false" ht="15" hidden="false" customHeight="false" outlineLevel="0" collapsed="false">
      <c r="B28" s="2" t="s">
        <v>21</v>
      </c>
    </row>
    <row r="29" customFormat="false" ht="35.05" hidden="false" customHeight="false" outlineLevel="0" collapsed="false">
      <c r="B29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5" t="s">
        <v>23</v>
      </c>
    </row>
    <row r="2" customFormat="false" ht="15" hidden="false" customHeight="false" outlineLevel="0" collapsed="false">
      <c r="A2" s="6" t="s">
        <v>24</v>
      </c>
    </row>
    <row r="3" customFormat="false" ht="15" hidden="false" customHeight="false" outlineLevel="0" collapsed="false">
      <c r="A3" s="7" t="s">
        <v>1</v>
      </c>
    </row>
    <row r="4" customFormat="false" ht="15" hidden="false" customHeight="false" outlineLevel="0" collapsed="false">
      <c r="A4" s="8" t="s">
        <v>25</v>
      </c>
      <c r="B4" s="9"/>
      <c r="C4" s="9"/>
    </row>
    <row r="5" customFormat="false" ht="15" hidden="false" customHeight="false" outlineLevel="0" collapsed="false">
      <c r="A5" s="10" t="s">
        <v>26</v>
      </c>
      <c r="B5" s="11" t="s">
        <v>27</v>
      </c>
      <c r="C5" s="11" t="s">
        <v>28</v>
      </c>
    </row>
    <row r="6" customFormat="false" ht="15" hidden="false" customHeight="false" outlineLevel="0" collapsed="false">
      <c r="A6" s="12" t="s">
        <v>29</v>
      </c>
      <c r="B6" s="13" t="n">
        <f aca="false">NVDA!B5</f>
        <v>222.27</v>
      </c>
      <c r="C6" s="13" t="n">
        <f aca="false">META!B5</f>
        <v>665.75</v>
      </c>
    </row>
    <row r="7" customFormat="false" ht="15" hidden="false" customHeight="false" outlineLevel="0" collapsed="false">
      <c r="A7" s="12" t="s">
        <v>30</v>
      </c>
      <c r="B7" s="14" t="n">
        <f aca="false">NVDA!B27</f>
        <v>0.11</v>
      </c>
      <c r="C7" s="14" t="n">
        <f aca="false">META!B27</f>
        <v>0.0983660942879845</v>
      </c>
    </row>
    <row r="8" customFormat="false" ht="15" hidden="false" customHeight="false" outlineLevel="0" collapsed="false">
      <c r="A8" s="12" t="s">
        <v>31</v>
      </c>
      <c r="B8" s="13" t="n">
        <f aca="false">NVDA!C58</f>
        <v>55.7635470539218</v>
      </c>
      <c r="C8" s="13" t="n">
        <f aca="false">META!C58</f>
        <v>201.503593127538</v>
      </c>
    </row>
    <row r="9" customFormat="false" ht="15" hidden="false" customHeight="false" outlineLevel="0" collapsed="false">
      <c r="A9" s="12" t="s">
        <v>32</v>
      </c>
      <c r="B9" s="13" t="n">
        <f aca="false">NVDA!D58</f>
        <v>141.623455385411</v>
      </c>
      <c r="C9" s="13" t="n">
        <f aca="false">META!D58</f>
        <v>456.843177782755</v>
      </c>
    </row>
    <row r="10" customFormat="false" ht="15" hidden="false" customHeight="false" outlineLevel="0" collapsed="false">
      <c r="A10" s="12" t="s">
        <v>33</v>
      </c>
      <c r="B10" s="13" t="n">
        <f aca="false">NVDA!E58</f>
        <v>238.703645158197</v>
      </c>
      <c r="C10" s="13" t="n">
        <f aca="false">META!E58</f>
        <v>722.46178400487</v>
      </c>
    </row>
    <row r="11" customFormat="false" ht="15" hidden="false" customHeight="false" outlineLevel="0" collapsed="false">
      <c r="A11" s="12" t="s">
        <v>34</v>
      </c>
      <c r="B11" s="13" t="n">
        <f aca="false">NVDA!F58</f>
        <v>222.268084201378</v>
      </c>
      <c r="C11" s="13" t="n">
        <f aca="false">META!F58</f>
        <v>665.74354713072</v>
      </c>
    </row>
    <row r="12" customFormat="false" ht="15" hidden="false" customHeight="false" outlineLevel="0" collapsed="false">
      <c r="A12" s="12" t="s">
        <v>35</v>
      </c>
      <c r="B12" s="15" t="n">
        <f aca="false">NVDA!D60</f>
        <v>-0.36283144200562</v>
      </c>
      <c r="C12" s="15" t="n">
        <f aca="false">META!D60</f>
        <v>-0.313791696909118</v>
      </c>
    </row>
    <row r="13" customFormat="false" ht="15" hidden="false" customHeight="false" outlineLevel="0" collapsed="false">
      <c r="A13" s="12" t="s">
        <v>36</v>
      </c>
      <c r="B13" s="15" t="n">
        <f aca="false">NVDA!D64</f>
        <v>0.2152044104052</v>
      </c>
      <c r="C13" s="15" t="n">
        <f aca="false">META!D64</f>
        <v>0.118305390416613</v>
      </c>
    </row>
    <row r="14" customFormat="false" ht="15" hidden="false" customHeight="false" outlineLevel="0" collapsed="false">
      <c r="A14" s="12" t="s">
        <v>37</v>
      </c>
      <c r="B14" s="15" t="n">
        <f aca="false">NVDA!F64</f>
        <v>0.317818231621242</v>
      </c>
      <c r="C14" s="15" t="n">
        <f aca="false">META!F64</f>
        <v>0.187306078765982</v>
      </c>
    </row>
    <row r="15" customFormat="false" ht="15" hidden="false" customHeight="false" outlineLevel="0" collapsed="false">
      <c r="A15" s="12" t="s">
        <v>38</v>
      </c>
      <c r="B15" s="15" t="n">
        <f aca="false">NVDA!D61</f>
        <v>0.511167687518758</v>
      </c>
      <c r="C15" s="15" t="n">
        <f aca="false">META!D61</f>
        <v>0.579734924712515</v>
      </c>
    </row>
    <row r="16" customFormat="false" ht="15" hidden="false" customHeight="false" outlineLevel="0" collapsed="false">
      <c r="A16" s="12" t="s">
        <v>39</v>
      </c>
      <c r="B16" s="15" t="n">
        <f aca="false">NVDA!D63</f>
        <v>0.15</v>
      </c>
      <c r="C16" s="15" t="n">
        <f aca="false">META!D63</f>
        <v>0.12</v>
      </c>
    </row>
    <row r="17" customFormat="false" ht="15" hidden="false" customHeight="false" outlineLevel="0" collapsed="false">
      <c r="A17" s="7" t="s">
        <v>40</v>
      </c>
      <c r="B17" s="16" t="n">
        <f aca="false">BBS_Score!B13</f>
        <v>78</v>
      </c>
      <c r="C17" s="16" t="n">
        <f aca="false">BBS_Score!C13</f>
        <v>56</v>
      </c>
    </row>
    <row r="19" customFormat="false" ht="15" hidden="false" customHeight="false" outlineLevel="0" collapsed="false">
      <c r="A19" s="6" t="s">
        <v>41</v>
      </c>
    </row>
    <row r="21" customFormat="false" ht="15" hidden="false" customHeight="false" outlineLevel="0" collapsed="false">
      <c r="A21" s="8" t="s">
        <v>42</v>
      </c>
      <c r="B21" s="9"/>
      <c r="C21" s="9"/>
    </row>
    <row r="22" customFormat="false" ht="15" hidden="false" customHeight="false" outlineLevel="0" collapsed="false">
      <c r="A22" s="10" t="s">
        <v>26</v>
      </c>
      <c r="B22" s="11" t="s">
        <v>27</v>
      </c>
      <c r="C22" s="11" t="s">
        <v>28</v>
      </c>
    </row>
    <row r="23" customFormat="false" ht="15" hidden="false" customHeight="false" outlineLevel="0" collapsed="false">
      <c r="A23" s="12" t="s">
        <v>43</v>
      </c>
      <c r="B23" s="17" t="n">
        <f aca="false">PE_Benchmarks!B10</f>
        <v>18.45</v>
      </c>
      <c r="C23" s="17" t="n">
        <f aca="false">PE_Benchmarks!C10</f>
        <v>20.57</v>
      </c>
    </row>
    <row r="24" customFormat="false" ht="15" hidden="false" customHeight="false" outlineLevel="0" collapsed="false">
      <c r="A24" s="12" t="s">
        <v>44</v>
      </c>
      <c r="B24" s="17" t="n">
        <f aca="false">PE_Benchmarks!B18</f>
        <v>19.1</v>
      </c>
      <c r="C24" s="17" t="n">
        <f aca="false">PE_Benchmarks!B18</f>
        <v>19.1</v>
      </c>
    </row>
    <row r="25" customFormat="false" ht="15" hidden="false" customHeight="false" outlineLevel="0" collapsed="false">
      <c r="A25" s="12" t="s">
        <v>45</v>
      </c>
      <c r="B25" s="17" t="n">
        <f aca="false">PE_Benchmarks!B27</f>
        <v>61.52</v>
      </c>
      <c r="C25" s="17" t="n">
        <f aca="false">PE_Benchmarks!C27</f>
        <v>15.5</v>
      </c>
    </row>
    <row r="26" customFormat="false" ht="15" hidden="false" customHeight="false" outlineLevel="0" collapsed="false">
      <c r="A26" s="12" t="s">
        <v>46</v>
      </c>
      <c r="B26" s="17" t="n">
        <f aca="false">PE_Benchmarks!B41</f>
        <v>11.7557598949963</v>
      </c>
      <c r="C26" s="17" t="n">
        <f aca="false">PE_Benchmarks!C41</f>
        <v>14.1153047945794</v>
      </c>
    </row>
    <row r="27" customFormat="false" ht="15" hidden="false" customHeight="false" outlineLevel="0" collapsed="false">
      <c r="A27" s="12" t="s">
        <v>47</v>
      </c>
      <c r="B27" s="15" t="n">
        <f aca="false">NVDA_PnL!B50</f>
        <v>0.668985818314878</v>
      </c>
      <c r="C27" s="15" t="n">
        <f aca="false">META_PnL!B50</f>
        <v>0.185114151787598</v>
      </c>
    </row>
    <row r="28" customFormat="false" ht="15" hidden="false" customHeight="false" outlineLevel="0" collapsed="false">
      <c r="A28" s="12" t="s">
        <v>48</v>
      </c>
      <c r="B28" s="15" t="n">
        <f aca="false">NVDA_PnL!B52</f>
        <v>0.2152044104052</v>
      </c>
      <c r="C28" s="15" t="n">
        <f aca="false">META_PnL!B52</f>
        <v>0.118308330125378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5" t="s">
        <v>49</v>
      </c>
    </row>
    <row r="2" customFormat="false" ht="15" hidden="false" customHeight="false" outlineLevel="0" collapsed="false">
      <c r="A2" s="6" t="s">
        <v>50</v>
      </c>
    </row>
    <row r="4" customFormat="false" ht="15" hidden="false" customHeight="false" outlineLevel="0" collapsed="false">
      <c r="A4" s="8" t="s">
        <v>51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12" t="s">
        <v>29</v>
      </c>
      <c r="B5" s="18" t="n">
        <v>222.27</v>
      </c>
    </row>
    <row r="6" customFormat="false" ht="15" hidden="false" customHeight="false" outlineLevel="0" collapsed="false">
      <c r="A6" s="12" t="s">
        <v>52</v>
      </c>
      <c r="B6" s="19" t="n">
        <v>5370</v>
      </c>
    </row>
    <row r="7" customFormat="false" ht="15" hidden="false" customHeight="false" outlineLevel="0" collapsed="false">
      <c r="A7" s="12" t="s">
        <v>53</v>
      </c>
      <c r="B7" s="20" t="n">
        <f aca="false">B6/B5</f>
        <v>24.159805641787</v>
      </c>
    </row>
    <row r="8" customFormat="false" ht="15" hidden="false" customHeight="false" outlineLevel="0" collapsed="false">
      <c r="A8" s="12" t="s">
        <v>54</v>
      </c>
      <c r="B8" s="19" t="n">
        <v>62.47</v>
      </c>
    </row>
    <row r="9" customFormat="false" ht="15" hidden="false" customHeight="false" outlineLevel="0" collapsed="false">
      <c r="A9" s="12" t="s">
        <v>55</v>
      </c>
      <c r="B9" s="19" t="n">
        <v>38.86</v>
      </c>
    </row>
    <row r="10" customFormat="false" ht="15" hidden="false" customHeight="false" outlineLevel="0" collapsed="false">
      <c r="A10" s="12" t="s">
        <v>56</v>
      </c>
      <c r="B10" s="19" t="n">
        <v>302.97</v>
      </c>
    </row>
    <row r="11" customFormat="false" ht="15" hidden="false" customHeight="false" outlineLevel="0" collapsed="false">
      <c r="A11" s="12" t="s">
        <v>57</v>
      </c>
      <c r="B11" s="21" t="n">
        <v>0.15</v>
      </c>
    </row>
    <row r="13" customFormat="false" ht="15" hidden="false" customHeight="false" outlineLevel="0" collapsed="false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12" t="s">
        <v>59</v>
      </c>
      <c r="B14" s="22" t="n">
        <v>0.0494</v>
      </c>
    </row>
    <row r="15" customFormat="false" ht="15" hidden="false" customHeight="false" outlineLevel="0" collapsed="false">
      <c r="A15" s="12" t="s">
        <v>60</v>
      </c>
      <c r="B15" s="22" t="n">
        <v>0.045</v>
      </c>
    </row>
    <row r="16" customFormat="false" ht="15" hidden="false" customHeight="false" outlineLevel="0" collapsed="false">
      <c r="A16" s="12" t="s">
        <v>61</v>
      </c>
      <c r="B16" s="23" t="n">
        <v>2.22</v>
      </c>
    </row>
    <row r="17" customFormat="false" ht="15" hidden="false" customHeight="false" outlineLevel="0" collapsed="false">
      <c r="A17" s="12" t="s">
        <v>62</v>
      </c>
      <c r="B17" s="23" t="n">
        <v>0.67</v>
      </c>
    </row>
    <row r="18" customFormat="false" ht="15" hidden="false" customHeight="false" outlineLevel="0" collapsed="false">
      <c r="A18" s="12" t="s">
        <v>63</v>
      </c>
      <c r="B18" s="24" t="n">
        <f aca="false">B17*B16+(1-B17)*1</f>
        <v>1.8174</v>
      </c>
    </row>
    <row r="19" customFormat="false" ht="15" hidden="false" customHeight="false" outlineLevel="0" collapsed="false">
      <c r="A19" s="12" t="s">
        <v>64</v>
      </c>
      <c r="B19" s="25" t="n">
        <f aca="false">B14+B18*B15</f>
        <v>0.131183</v>
      </c>
    </row>
    <row r="20" customFormat="false" ht="15" hidden="false" customHeight="false" outlineLevel="0" collapsed="false">
      <c r="A20" s="12" t="s">
        <v>65</v>
      </c>
      <c r="B20" s="22" t="n">
        <v>0.0575</v>
      </c>
    </row>
    <row r="21" customFormat="false" ht="15" hidden="false" customHeight="false" outlineLevel="0" collapsed="false">
      <c r="A21" s="12" t="s">
        <v>66</v>
      </c>
      <c r="B21" s="25" t="n">
        <f aca="false">B20*(1-B11)</f>
        <v>0.048875</v>
      </c>
    </row>
    <row r="22" customFormat="false" ht="15" hidden="false" customHeight="false" outlineLevel="0" collapsed="false">
      <c r="A22" s="12" t="s">
        <v>67</v>
      </c>
      <c r="B22" s="26" t="n">
        <f aca="false">B6/(B6+B9)</f>
        <v>0.992815491619306</v>
      </c>
    </row>
    <row r="23" customFormat="false" ht="15" hidden="false" customHeight="false" outlineLevel="0" collapsed="false">
      <c r="A23" s="12" t="s">
        <v>68</v>
      </c>
      <c r="B23" s="26" t="n">
        <f aca="false">B9/(B6+B9)</f>
        <v>0.0071845083806939</v>
      </c>
    </row>
    <row r="24" customFormat="false" ht="15" hidden="false" customHeight="false" outlineLevel="0" collapsed="false">
      <c r="A24" s="12" t="s">
        <v>69</v>
      </c>
      <c r="B24" s="25" t="n">
        <f aca="false">B22*B19+B23*B21</f>
        <v>0.130591657484202</v>
      </c>
    </row>
    <row r="25" customFormat="false" ht="15" hidden="false" customHeight="false" outlineLevel="0" collapsed="false">
      <c r="A25" s="12" t="s">
        <v>70</v>
      </c>
      <c r="B25" s="27" t="n">
        <v>0.08</v>
      </c>
    </row>
    <row r="26" customFormat="false" ht="15" hidden="false" customHeight="false" outlineLevel="0" collapsed="false">
      <c r="A26" s="12" t="s">
        <v>71</v>
      </c>
      <c r="B26" s="27" t="n">
        <v>0.11</v>
      </c>
    </row>
    <row r="27" customFormat="false" ht="15" hidden="false" customHeight="false" outlineLevel="0" collapsed="false">
      <c r="A27" s="7" t="s">
        <v>30</v>
      </c>
      <c r="B27" s="28" t="n">
        <f aca="false">MEDIAN(B25,B24,B26)</f>
        <v>0.11</v>
      </c>
    </row>
    <row r="28" customFormat="false" ht="15" hidden="false" customHeight="false" outlineLevel="0" collapsed="false">
      <c r="A28" s="12" t="s">
        <v>72</v>
      </c>
      <c r="B28" s="27" t="n">
        <v>0.03</v>
      </c>
    </row>
    <row r="29" customFormat="false" ht="15" hidden="false" customHeight="false" outlineLevel="0" collapsed="false">
      <c r="A29" s="12" t="s">
        <v>73</v>
      </c>
      <c r="B29" s="27" t="n">
        <v>0.03</v>
      </c>
    </row>
    <row r="31" customFormat="false" ht="15" hidden="false" customHeight="false" outlineLevel="0" collapsed="false">
      <c r="A31" s="8" t="s">
        <v>74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0" t="s">
        <v>75</v>
      </c>
      <c r="B32" s="10" t="s">
        <v>76</v>
      </c>
      <c r="C32" s="11" t="s">
        <v>77</v>
      </c>
      <c r="D32" s="11" t="s">
        <v>78</v>
      </c>
      <c r="E32" s="11" t="s">
        <v>79</v>
      </c>
      <c r="F32" s="11" t="s">
        <v>80</v>
      </c>
    </row>
    <row r="33" customFormat="false" ht="30" hidden="false" customHeight="true" outlineLevel="0" collapsed="false">
      <c r="A33" s="29" t="s">
        <v>81</v>
      </c>
      <c r="B33" s="30" t="s">
        <v>82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customFormat="false" ht="30" hidden="false" customHeight="true" outlineLevel="0" collapsed="false">
      <c r="A34" s="29" t="s">
        <v>83</v>
      </c>
      <c r="B34" s="30" t="s">
        <v>84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customFormat="false" ht="30" hidden="false" customHeight="true" outlineLevel="0" collapsed="false">
      <c r="A35" s="29" t="s">
        <v>85</v>
      </c>
      <c r="B35" s="30" t="s">
        <v>86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30" hidden="false" customHeight="true" outlineLevel="0" collapsed="false">
      <c r="A36" s="29" t="s">
        <v>87</v>
      </c>
      <c r="B36" s="30" t="s">
        <v>88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8" customFormat="false" ht="15" hidden="false" customHeight="false" outlineLevel="0" collapsed="false">
      <c r="A38" s="12" t="s">
        <v>89</v>
      </c>
      <c r="B38" s="6" t="s">
        <v>90</v>
      </c>
      <c r="C38" s="19" t="n">
        <v>400</v>
      </c>
      <c r="D38" s="19" t="n">
        <v>450</v>
      </c>
      <c r="E38" s="19" t="n">
        <v>500</v>
      </c>
      <c r="F38" s="31" t="n">
        <f aca="false">D38</f>
        <v>450</v>
      </c>
    </row>
    <row r="39" customFormat="false" ht="15" hidden="false" customHeight="false" outlineLevel="0" collapsed="false">
      <c r="A39" s="12" t="s">
        <v>91</v>
      </c>
      <c r="B39" s="6" t="s">
        <v>92</v>
      </c>
      <c r="C39" s="21" t="n">
        <v>0.05</v>
      </c>
      <c r="D39" s="21" t="n">
        <v>0.25</v>
      </c>
      <c r="E39" s="21" t="n">
        <v>0.35</v>
      </c>
      <c r="F39" s="26" t="n">
        <f aca="false">D39*$F$47</f>
        <v>0.451025</v>
      </c>
    </row>
    <row r="40" customFormat="false" ht="15" hidden="false" customHeight="false" outlineLevel="0" collapsed="false">
      <c r="A40" s="12" t="s">
        <v>93</v>
      </c>
      <c r="B40" s="6" t="s">
        <v>92</v>
      </c>
      <c r="C40" s="21" t="n">
        <v>-0.1</v>
      </c>
      <c r="D40" s="21" t="n">
        <v>0.18</v>
      </c>
      <c r="E40" s="21" t="n">
        <v>0.25</v>
      </c>
      <c r="F40" s="26" t="n">
        <f aca="false">D40*$F$47</f>
        <v>0.324738</v>
      </c>
    </row>
    <row r="41" customFormat="false" ht="15" hidden="false" customHeight="false" outlineLevel="0" collapsed="false">
      <c r="A41" s="12" t="s">
        <v>94</v>
      </c>
      <c r="B41" s="6" t="s">
        <v>92</v>
      </c>
      <c r="C41" s="21" t="n">
        <v>0</v>
      </c>
      <c r="D41" s="21" t="n">
        <v>0.12</v>
      </c>
      <c r="E41" s="21" t="n">
        <v>0.18</v>
      </c>
      <c r="F41" s="26" t="n">
        <f aca="false">D41*$F$47</f>
        <v>0.216492</v>
      </c>
    </row>
    <row r="42" customFormat="false" ht="15" hidden="false" customHeight="false" outlineLevel="0" collapsed="false">
      <c r="A42" s="12" t="s">
        <v>95</v>
      </c>
      <c r="B42" s="6" t="s">
        <v>92</v>
      </c>
      <c r="C42" s="21" t="n">
        <v>0.03</v>
      </c>
      <c r="D42" s="21" t="n">
        <v>0.08</v>
      </c>
      <c r="E42" s="21" t="n">
        <v>0.12</v>
      </c>
      <c r="F42" s="26" t="n">
        <f aca="false">D42*$F$47</f>
        <v>0.144328</v>
      </c>
    </row>
    <row r="43" customFormat="false" ht="15" hidden="false" customHeight="false" outlineLevel="0" collapsed="false">
      <c r="A43" s="12" t="s">
        <v>96</v>
      </c>
      <c r="B43" s="6" t="s">
        <v>92</v>
      </c>
      <c r="C43" s="21" t="n">
        <v>0.55</v>
      </c>
      <c r="D43" s="21" t="n">
        <v>0.62</v>
      </c>
      <c r="E43" s="21" t="n">
        <v>0.65</v>
      </c>
      <c r="F43" s="26" t="n">
        <f aca="false">D43</f>
        <v>0.62</v>
      </c>
    </row>
    <row r="44" customFormat="false" ht="15" hidden="false" customHeight="false" outlineLevel="0" collapsed="false">
      <c r="A44" s="12" t="s">
        <v>97</v>
      </c>
      <c r="B44" s="6" t="s">
        <v>92</v>
      </c>
      <c r="C44" s="21" t="n">
        <v>0.45</v>
      </c>
      <c r="D44" s="21" t="n">
        <v>0.55</v>
      </c>
      <c r="E44" s="21" t="n">
        <v>0.62</v>
      </c>
      <c r="F44" s="26" t="n">
        <f aca="false">D44</f>
        <v>0.55</v>
      </c>
    </row>
    <row r="45" customFormat="false" ht="15" hidden="false" customHeight="false" outlineLevel="0" collapsed="false">
      <c r="A45" s="12" t="s">
        <v>98</v>
      </c>
      <c r="B45" s="6" t="s">
        <v>92</v>
      </c>
      <c r="C45" s="21" t="n">
        <v>0.75</v>
      </c>
      <c r="D45" s="21" t="n">
        <v>0.75</v>
      </c>
      <c r="E45" s="21" t="n">
        <v>0.75</v>
      </c>
      <c r="F45" s="26" t="n">
        <f aca="false">D45</f>
        <v>0.75</v>
      </c>
    </row>
    <row r="46" customFormat="false" ht="15" hidden="false" customHeight="false" outlineLevel="0" collapsed="false">
      <c r="A46" s="12" t="s">
        <v>99</v>
      </c>
      <c r="B46" s="6" t="s">
        <v>92</v>
      </c>
      <c r="C46" s="21" t="n">
        <v>0.75</v>
      </c>
      <c r="D46" s="21" t="n">
        <v>0.8</v>
      </c>
      <c r="E46" s="21" t="n">
        <v>0.85</v>
      </c>
      <c r="F46" s="26" t="n">
        <f aca="false">D46</f>
        <v>0.8</v>
      </c>
    </row>
    <row r="47" customFormat="false" ht="15" hidden="false" customHeight="false" outlineLevel="0" collapsed="false">
      <c r="A47" s="12" t="s">
        <v>100</v>
      </c>
      <c r="B47" s="6" t="s">
        <v>101</v>
      </c>
      <c r="C47" s="32" t="n">
        <v>1</v>
      </c>
      <c r="D47" s="32" t="n">
        <v>1</v>
      </c>
      <c r="E47" s="32" t="n">
        <v>1</v>
      </c>
      <c r="F47" s="33" t="n">
        <v>1.8041</v>
      </c>
      <c r="G47" s="6" t="s">
        <v>102</v>
      </c>
    </row>
    <row r="49" customFormat="false" ht="15" hidden="false" customHeight="false" outlineLevel="0" collapsed="false">
      <c r="A49" s="8" t="s">
        <v>103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10" t="s">
        <v>26</v>
      </c>
      <c r="B50" s="10" t="s">
        <v>76</v>
      </c>
      <c r="C50" s="11" t="s">
        <v>77</v>
      </c>
      <c r="D50" s="11" t="s">
        <v>78</v>
      </c>
      <c r="E50" s="11" t="s">
        <v>79</v>
      </c>
      <c r="F50" s="11" t="s">
        <v>80</v>
      </c>
    </row>
    <row r="51" customFormat="false" ht="15" hidden="false" customHeight="false" outlineLevel="0" collapsed="false">
      <c r="A51" s="12" t="s">
        <v>104</v>
      </c>
      <c r="B51" s="6" t="s">
        <v>90</v>
      </c>
      <c r="C51" s="31" t="n">
        <f aca="false">SUM(C77:L77)</f>
        <v>736.508586454805</v>
      </c>
      <c r="D51" s="31" t="n">
        <f aca="false">SUM(C91:L91)</f>
        <v>1661.04494179453</v>
      </c>
      <c r="E51" s="31" t="n">
        <f aca="false">SUM(C105:L105)</f>
        <v>2630.07762349541</v>
      </c>
      <c r="F51" s="31" t="n">
        <f aca="false">SUM(C119:L119)</f>
        <v>2411.37680076679</v>
      </c>
    </row>
    <row r="52" customFormat="false" ht="15" hidden="false" customHeight="false" outlineLevel="0" collapsed="false">
      <c r="A52" s="12" t="s">
        <v>105</v>
      </c>
      <c r="B52" s="6" t="s">
        <v>90</v>
      </c>
      <c r="C52" s="31" t="n">
        <f aca="false">L75*(1+$B$28)/($B$27-$B$28)</f>
        <v>1667.07480780427</v>
      </c>
      <c r="D52" s="31" t="n">
        <f aca="false">L89*(1+$B$28)/($B$27-$B$28)</f>
        <v>4931.90449698268</v>
      </c>
      <c r="E52" s="31" t="n">
        <f aca="false">L103*(1+$B$28)/($B$27-$B$28)</f>
        <v>8840.10010988147</v>
      </c>
      <c r="F52" s="31" t="n">
        <f aca="false">L117*(1+$B$28)/($B$27-$B$28)</f>
        <v>8333.60664877672</v>
      </c>
    </row>
    <row r="53" customFormat="false" ht="15" hidden="false" customHeight="false" outlineLevel="0" collapsed="false">
      <c r="A53" s="12" t="s">
        <v>106</v>
      </c>
      <c r="B53" s="6" t="s">
        <v>90</v>
      </c>
      <c r="C53" s="31" t="n">
        <f aca="false">C52*L76</f>
        <v>587.11787226459</v>
      </c>
      <c r="D53" s="31" t="n">
        <f aca="false">D52*L90</f>
        <v>1736.9402146353</v>
      </c>
      <c r="E53" s="31" t="n">
        <f aca="false">E52*L104</f>
        <v>3113.34604951271</v>
      </c>
      <c r="F53" s="31" t="n">
        <f aca="false">F52*L118</f>
        <v>2934.96691391086</v>
      </c>
    </row>
    <row r="54" customFormat="false" ht="15" hidden="false" customHeight="false" outlineLevel="0" collapsed="false">
      <c r="A54" s="12" t="s">
        <v>107</v>
      </c>
      <c r="B54" s="6" t="s">
        <v>90</v>
      </c>
      <c r="C54" s="31" t="n">
        <f aca="false">C51+C53</f>
        <v>1323.62645871939</v>
      </c>
      <c r="D54" s="31" t="n">
        <f aca="false">D51+D53</f>
        <v>3397.98515642982</v>
      </c>
      <c r="E54" s="31" t="n">
        <f aca="false">E51+E53</f>
        <v>5743.42367300813</v>
      </c>
      <c r="F54" s="31" t="n">
        <f aca="false">F51+F53</f>
        <v>5346.34371467765</v>
      </c>
    </row>
    <row r="55" customFormat="false" ht="15" hidden="false" customHeight="false" outlineLevel="0" collapsed="false">
      <c r="A55" s="12" t="s">
        <v>108</v>
      </c>
      <c r="B55" s="6" t="s">
        <v>90</v>
      </c>
      <c r="C55" s="31" t="n">
        <f aca="false">$B$8</f>
        <v>62.47</v>
      </c>
      <c r="D55" s="31" t="n">
        <f aca="false">$B$8</f>
        <v>62.47</v>
      </c>
      <c r="E55" s="31" t="n">
        <f aca="false">$B$8</f>
        <v>62.47</v>
      </c>
      <c r="F55" s="31" t="n">
        <f aca="false">$B$8</f>
        <v>62.47</v>
      </c>
    </row>
    <row r="56" customFormat="false" ht="15" hidden="false" customHeight="false" outlineLevel="0" collapsed="false">
      <c r="A56" s="12" t="s">
        <v>109</v>
      </c>
      <c r="B56" s="6" t="s">
        <v>90</v>
      </c>
      <c r="C56" s="31" t="n">
        <f aca="false">-$B$9</f>
        <v>-38.86</v>
      </c>
      <c r="D56" s="31" t="n">
        <f aca="false">-$B$9</f>
        <v>-38.86</v>
      </c>
      <c r="E56" s="31" t="n">
        <f aca="false">-$B$9</f>
        <v>-38.86</v>
      </c>
      <c r="F56" s="31" t="n">
        <f aca="false">-$B$9</f>
        <v>-38.86</v>
      </c>
    </row>
    <row r="57" customFormat="false" ht="15" hidden="false" customHeight="false" outlineLevel="0" collapsed="false">
      <c r="A57" s="12" t="s">
        <v>110</v>
      </c>
      <c r="B57" s="6" t="s">
        <v>90</v>
      </c>
      <c r="C57" s="31" t="n">
        <f aca="false">C54+C55+C56</f>
        <v>1347.23645871939</v>
      </c>
      <c r="D57" s="31" t="n">
        <f aca="false">D54+D55+D56</f>
        <v>3421.59515642982</v>
      </c>
      <c r="E57" s="31" t="n">
        <f aca="false">E54+E55+E56</f>
        <v>5767.03367300813</v>
      </c>
      <c r="F57" s="31" t="n">
        <f aca="false">F54+F55+F56</f>
        <v>5369.95371467765</v>
      </c>
    </row>
    <row r="58" customFormat="false" ht="15" hidden="false" customHeight="false" outlineLevel="0" collapsed="false">
      <c r="A58" s="7" t="s">
        <v>111</v>
      </c>
      <c r="B58" s="6" t="s">
        <v>112</v>
      </c>
      <c r="C58" s="34" t="n">
        <f aca="false">C57/$B$7</f>
        <v>55.7635470539218</v>
      </c>
      <c r="D58" s="34" t="n">
        <f aca="false">D57/$B$7</f>
        <v>141.623455385411</v>
      </c>
      <c r="E58" s="34" t="n">
        <f aca="false">E57/$B$7</f>
        <v>238.703645158197</v>
      </c>
      <c r="F58" s="34" t="n">
        <f aca="false">F57/$B$7</f>
        <v>222.268084201378</v>
      </c>
    </row>
    <row r="59" customFormat="false" ht="15" hidden="false" customHeight="false" outlineLevel="0" collapsed="false">
      <c r="A59" s="12" t="s">
        <v>113</v>
      </c>
      <c r="B59" s="6" t="s">
        <v>112</v>
      </c>
      <c r="C59" s="35" t="n">
        <f aca="false">$B$5</f>
        <v>222.27</v>
      </c>
      <c r="D59" s="35" t="n">
        <f aca="false">$B$5</f>
        <v>222.27</v>
      </c>
      <c r="E59" s="35" t="n">
        <f aca="false">$B$5</f>
        <v>222.27</v>
      </c>
      <c r="F59" s="35" t="n">
        <f aca="false">$B$5</f>
        <v>222.27</v>
      </c>
    </row>
    <row r="60" customFormat="false" ht="15" hidden="false" customHeight="false" outlineLevel="0" collapsed="false">
      <c r="A60" s="7" t="s">
        <v>114</v>
      </c>
      <c r="B60" s="6" t="s">
        <v>92</v>
      </c>
      <c r="C60" s="36" t="n">
        <f aca="false">C58/C59-1</f>
        <v>-0.749117977892105</v>
      </c>
      <c r="D60" s="36" t="n">
        <f aca="false">D58/D59-1</f>
        <v>-0.36283144200562</v>
      </c>
      <c r="E60" s="36" t="n">
        <f aca="false">E58/E59-1</f>
        <v>0.0739355070778636</v>
      </c>
      <c r="F60" s="36" t="n">
        <f aca="false">F58/F59-1</f>
        <v>-8.61924066075659E-006</v>
      </c>
    </row>
    <row r="61" customFormat="false" ht="15" hidden="false" customHeight="false" outlineLevel="0" collapsed="false">
      <c r="A61" s="12" t="s">
        <v>115</v>
      </c>
      <c r="B61" s="6" t="s">
        <v>92</v>
      </c>
      <c r="C61" s="26" t="n">
        <f aca="false">C53/C54</f>
        <v>0.443567645839163</v>
      </c>
      <c r="D61" s="26" t="n">
        <f aca="false">D53/D54</f>
        <v>0.511167687518758</v>
      </c>
      <c r="E61" s="26" t="n">
        <f aca="false">E53/E54</f>
        <v>0.542071458900767</v>
      </c>
      <c r="F61" s="26" t="n">
        <f aca="false">F53/F54</f>
        <v>0.548967120436591</v>
      </c>
    </row>
    <row r="62" customFormat="false" ht="15" hidden="false" customHeight="false" outlineLevel="0" collapsed="false">
      <c r="A62" s="12" t="s">
        <v>116</v>
      </c>
      <c r="B62" s="6" t="s">
        <v>92</v>
      </c>
      <c r="C62" s="26" t="n">
        <f aca="false">1-L73</f>
        <v>0.25</v>
      </c>
      <c r="D62" s="26" t="n">
        <f aca="false">1-L87</f>
        <v>0.2</v>
      </c>
      <c r="E62" s="26" t="n">
        <f aca="false">1-L101</f>
        <v>0.15</v>
      </c>
      <c r="F62" s="26" t="n">
        <f aca="false">1-L115</f>
        <v>0.2</v>
      </c>
    </row>
    <row r="63" customFormat="false" ht="15" hidden="false" customHeight="false" outlineLevel="0" collapsed="false">
      <c r="A63" s="12" t="s">
        <v>117</v>
      </c>
      <c r="B63" s="6" t="s">
        <v>92</v>
      </c>
      <c r="C63" s="26" t="n">
        <f aca="false">IF(C62&gt;0,$B$28/C62,0)</f>
        <v>0.12</v>
      </c>
      <c r="D63" s="26" t="n">
        <f aca="false">IF(D62&gt;0,$B$28/D62,0)</f>
        <v>0.15</v>
      </c>
      <c r="E63" s="26" t="n">
        <f aca="false">IF(E62&gt;0,$B$28/E62,0)</f>
        <v>0.2</v>
      </c>
      <c r="F63" s="26" t="n">
        <f aca="false">IF(F62&gt;0,$B$28/F62,0)</f>
        <v>0.15</v>
      </c>
    </row>
    <row r="64" customFormat="false" ht="15" hidden="false" customHeight="false" outlineLevel="0" collapsed="false">
      <c r="A64" s="12" t="s">
        <v>118</v>
      </c>
      <c r="B64" s="6" t="s">
        <v>92</v>
      </c>
      <c r="C64" s="26" t="n">
        <f aca="false">(G68/$B$10)^(1/5)-1</f>
        <v>0.0514433522476689</v>
      </c>
      <c r="D64" s="26" t="n">
        <f aca="false">(G82/$B$10)^(1/5)-1</f>
        <v>0.2152044104052</v>
      </c>
      <c r="E64" s="26" t="n">
        <f aca="false">(G96/$B$10)^(1/5)-1</f>
        <v>0.297725497838893</v>
      </c>
      <c r="F64" s="26" t="n">
        <f aca="false">(G110/$B$10)^(1/5)-1</f>
        <v>0.317818231621242</v>
      </c>
    </row>
    <row r="65" customFormat="false" ht="15" hidden="false" customHeight="false" outlineLevel="0" collapsed="false">
      <c r="A65" s="8" t="s">
        <v>119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10" t="s">
        <v>120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15" hidden="false" customHeight="false" outlineLevel="0" collapsed="false">
      <c r="A67" s="7" t="s">
        <v>121</v>
      </c>
      <c r="C67" s="38" t="n">
        <v>1</v>
      </c>
      <c r="D67" s="38" t="n">
        <v>2</v>
      </c>
      <c r="E67" s="38" t="n">
        <v>3</v>
      </c>
      <c r="F67" s="38" t="n">
        <v>4</v>
      </c>
      <c r="G67" s="38" t="n">
        <v>5</v>
      </c>
      <c r="H67" s="38" t="n">
        <v>6</v>
      </c>
      <c r="I67" s="38" t="n">
        <v>7</v>
      </c>
      <c r="J67" s="38" t="n">
        <v>8</v>
      </c>
      <c r="K67" s="38" t="n">
        <v>9</v>
      </c>
      <c r="L67" s="38" t="n">
        <v>10</v>
      </c>
    </row>
    <row r="68" customFormat="false" ht="15" hidden="false" customHeight="false" outlineLevel="0" collapsed="false">
      <c r="A68" s="12" t="s">
        <v>122</v>
      </c>
      <c r="C68" s="31" t="n">
        <f aca="false">C$38</f>
        <v>400</v>
      </c>
      <c r="D68" s="31" t="n">
        <f aca="false">C68*(1+D69)</f>
        <v>420</v>
      </c>
      <c r="E68" s="31" t="n">
        <f aca="false">D68*(1+E69)</f>
        <v>378</v>
      </c>
      <c r="F68" s="31" t="n">
        <f aca="false">E68*(1+F69)</f>
        <v>378</v>
      </c>
      <c r="G68" s="31" t="n">
        <f aca="false">F68*(1+G69)</f>
        <v>389.34</v>
      </c>
      <c r="H68" s="31" t="n">
        <f aca="false">G68*(1+H69)</f>
        <v>401.0202</v>
      </c>
      <c r="I68" s="31" t="n">
        <f aca="false">H68*(1+I69)</f>
        <v>413.050806</v>
      </c>
      <c r="J68" s="31" t="n">
        <f aca="false">I68*(1+J69)</f>
        <v>425.44233018</v>
      </c>
      <c r="K68" s="31" t="n">
        <f aca="false">J68*(1+K69)</f>
        <v>438.2056000854</v>
      </c>
      <c r="L68" s="31" t="n">
        <f aca="false">K68*(1+L69)</f>
        <v>451.351768087962</v>
      </c>
    </row>
    <row r="69" customFormat="false" ht="15" hidden="false" customHeight="false" outlineLevel="0" collapsed="false">
      <c r="A69" s="12" t="s">
        <v>123</v>
      </c>
      <c r="C69" s="26" t="n">
        <f aca="false">C68/$B$10-1</f>
        <v>0.320262732283724</v>
      </c>
      <c r="D69" s="26" t="n">
        <f aca="false">C$39</f>
        <v>0.05</v>
      </c>
      <c r="E69" s="26" t="n">
        <f aca="false">C$40</f>
        <v>-0.1</v>
      </c>
      <c r="F69" s="26" t="n">
        <f aca="false">C$41</f>
        <v>0</v>
      </c>
      <c r="G69" s="26" t="n">
        <f aca="false">C$42</f>
        <v>0.03</v>
      </c>
      <c r="H69" s="26" t="n">
        <f aca="false">G69+($B$29-$G69)/5</f>
        <v>0.03</v>
      </c>
      <c r="I69" s="26" t="n">
        <f aca="false">H69+($B$29-$G69)/5</f>
        <v>0.03</v>
      </c>
      <c r="J69" s="26" t="n">
        <f aca="false">I69+($B$29-$G69)/5</f>
        <v>0.03</v>
      </c>
      <c r="K69" s="26" t="n">
        <f aca="false">J69+($B$29-$G69)/5</f>
        <v>0.03</v>
      </c>
      <c r="L69" s="26" t="n">
        <f aca="false">K69+($B$29-$G69)/5</f>
        <v>0.03</v>
      </c>
    </row>
    <row r="70" customFormat="false" ht="15" hidden="false" customHeight="false" outlineLevel="0" collapsed="false">
      <c r="A70" s="12" t="s">
        <v>124</v>
      </c>
      <c r="C70" s="26" t="n">
        <f aca="false">C$43+(C$44-C$43)*MIN(C$67-1,4)/4</f>
        <v>0.55</v>
      </c>
      <c r="D70" s="26" t="n">
        <f aca="false">C$43+(C$44-C$43)*MIN(D$67-1,4)/4</f>
        <v>0.525</v>
      </c>
      <c r="E70" s="26" t="n">
        <f aca="false">C$43+(C$44-C$43)*MIN(E$67-1,4)/4</f>
        <v>0.5</v>
      </c>
      <c r="F70" s="26" t="n">
        <f aca="false">C$43+(C$44-C$43)*MIN(F$67-1,4)/4</f>
        <v>0.475</v>
      </c>
      <c r="G70" s="26" t="n">
        <f aca="false">C$43+(C$44-C$43)*MIN(G$67-1,4)/4</f>
        <v>0.45</v>
      </c>
      <c r="H70" s="26" t="n">
        <f aca="false">C$43+(C$44-C$43)*MIN(H$67-1,4)/4</f>
        <v>0.45</v>
      </c>
      <c r="I70" s="26" t="n">
        <f aca="false">C$43+(C$44-C$43)*MIN(I$67-1,4)/4</f>
        <v>0.45</v>
      </c>
      <c r="J70" s="26" t="n">
        <f aca="false">C$43+(C$44-C$43)*MIN(J$67-1,4)/4</f>
        <v>0.45</v>
      </c>
      <c r="K70" s="26" t="n">
        <f aca="false">C$43+(C$44-C$43)*MIN(K$67-1,4)/4</f>
        <v>0.45</v>
      </c>
      <c r="L70" s="26" t="n">
        <f aca="false">C$43+(C$44-C$43)*MIN(L$67-1,4)/4</f>
        <v>0.45</v>
      </c>
    </row>
    <row r="71" customFormat="false" ht="15" hidden="false" customHeight="false" outlineLevel="0" collapsed="false">
      <c r="A71" s="12" t="s">
        <v>125</v>
      </c>
      <c r="C71" s="31" t="n">
        <f aca="false">C68*C70</f>
        <v>220</v>
      </c>
      <c r="D71" s="31" t="n">
        <f aca="false">D68*D70</f>
        <v>220.5</v>
      </c>
      <c r="E71" s="31" t="n">
        <f aca="false">E68*E70</f>
        <v>189</v>
      </c>
      <c r="F71" s="31" t="n">
        <f aca="false">F68*F70</f>
        <v>179.55</v>
      </c>
      <c r="G71" s="31" t="n">
        <f aca="false">G68*G70</f>
        <v>175.203</v>
      </c>
      <c r="H71" s="31" t="n">
        <f aca="false">H68*H70</f>
        <v>180.45909</v>
      </c>
      <c r="I71" s="31" t="n">
        <f aca="false">I68*I70</f>
        <v>185.8728627</v>
      </c>
      <c r="J71" s="31" t="n">
        <f aca="false">J68*J70</f>
        <v>191.449048581</v>
      </c>
      <c r="K71" s="31" t="n">
        <f aca="false">K68*K70</f>
        <v>197.19252003843</v>
      </c>
      <c r="L71" s="31" t="n">
        <f aca="false">L68*L70</f>
        <v>203.108295639583</v>
      </c>
    </row>
    <row r="72" customFormat="false" ht="15" hidden="false" customHeight="false" outlineLevel="0" collapsed="false">
      <c r="A72" s="12" t="s">
        <v>126</v>
      </c>
      <c r="C72" s="31" t="n">
        <f aca="false">C71*(1-$B$11)</f>
        <v>187</v>
      </c>
      <c r="D72" s="31" t="n">
        <f aca="false">D71*(1-$B$11)</f>
        <v>187.425</v>
      </c>
      <c r="E72" s="31" t="n">
        <f aca="false">E71*(1-$B$11)</f>
        <v>160.65</v>
      </c>
      <c r="F72" s="31" t="n">
        <f aca="false">F71*(1-$B$11)</f>
        <v>152.6175</v>
      </c>
      <c r="G72" s="31" t="n">
        <f aca="false">G71*(1-$B$11)</f>
        <v>148.92255</v>
      </c>
      <c r="H72" s="31" t="n">
        <f aca="false">H71*(1-$B$11)</f>
        <v>153.3902265</v>
      </c>
      <c r="I72" s="31" t="n">
        <f aca="false">I71*(1-$B$11)</f>
        <v>157.991933295</v>
      </c>
      <c r="J72" s="31" t="n">
        <f aca="false">J71*(1-$B$11)</f>
        <v>162.73169129385</v>
      </c>
      <c r="K72" s="31" t="n">
        <f aca="false">K71*(1-$B$11)</f>
        <v>167.613642032666</v>
      </c>
      <c r="L72" s="31" t="n">
        <f aca="false">L71*(1-$B$11)</f>
        <v>172.642051293646</v>
      </c>
    </row>
    <row r="73" customFormat="false" ht="15" hidden="false" customHeight="false" outlineLevel="0" collapsed="false">
      <c r="A73" s="12" t="s">
        <v>127</v>
      </c>
      <c r="C73" s="26" t="n">
        <f aca="false">C$45+(C$46-C$45)*MIN(C$67-1,4)/4</f>
        <v>0.75</v>
      </c>
      <c r="D73" s="26" t="n">
        <f aca="false">C$45+(C$46-C$45)*MIN(D$67-1,4)/4</f>
        <v>0.75</v>
      </c>
      <c r="E73" s="26" t="n">
        <f aca="false">C$45+(C$46-C$45)*MIN(E$67-1,4)/4</f>
        <v>0.75</v>
      </c>
      <c r="F73" s="26" t="n">
        <f aca="false">C$45+(C$46-C$45)*MIN(F$67-1,4)/4</f>
        <v>0.75</v>
      </c>
      <c r="G73" s="26" t="n">
        <f aca="false">C$45+(C$46-C$45)*MIN(G$67-1,4)/4</f>
        <v>0.75</v>
      </c>
      <c r="H73" s="26" t="n">
        <f aca="false">C$45+(C$46-C$45)*MIN(H$67-1,4)/4</f>
        <v>0.75</v>
      </c>
      <c r="I73" s="26" t="n">
        <f aca="false">C$45+(C$46-C$45)*MIN(I$67-1,4)/4</f>
        <v>0.75</v>
      </c>
      <c r="J73" s="26" t="n">
        <f aca="false">C$45+(C$46-C$45)*MIN(J$67-1,4)/4</f>
        <v>0.75</v>
      </c>
      <c r="K73" s="26" t="n">
        <f aca="false">C$45+(C$46-C$45)*MIN(K$67-1,4)/4</f>
        <v>0.75</v>
      </c>
      <c r="L73" s="26" t="n">
        <f aca="false">C$45+(C$46-C$45)*MIN(L$67-1,4)/4</f>
        <v>0.75</v>
      </c>
    </row>
    <row r="74" customFormat="false" ht="15" hidden="false" customHeight="false" outlineLevel="0" collapsed="false">
      <c r="A74" s="12" t="s">
        <v>128</v>
      </c>
      <c r="C74" s="31" t="n">
        <f aca="false">C72*(1-C73)</f>
        <v>46.75</v>
      </c>
      <c r="D74" s="31" t="n">
        <f aca="false">D72*(1-D73)</f>
        <v>46.85625</v>
      </c>
      <c r="E74" s="31" t="n">
        <f aca="false">E72*(1-E73)</f>
        <v>40.1625</v>
      </c>
      <c r="F74" s="31" t="n">
        <f aca="false">F72*(1-F73)</f>
        <v>38.154375</v>
      </c>
      <c r="G74" s="31" t="n">
        <f aca="false">G72*(1-G73)</f>
        <v>37.2306375</v>
      </c>
      <c r="H74" s="31" t="n">
        <f aca="false">H72*(1-H73)</f>
        <v>38.347556625</v>
      </c>
      <c r="I74" s="31" t="n">
        <f aca="false">I72*(1-I73)</f>
        <v>39.49798332375</v>
      </c>
      <c r="J74" s="31" t="n">
        <f aca="false">J72*(1-J73)</f>
        <v>40.6829228234625</v>
      </c>
      <c r="K74" s="31" t="n">
        <f aca="false">K72*(1-K73)</f>
        <v>41.9034105081664</v>
      </c>
      <c r="L74" s="31" t="n">
        <f aca="false">L72*(1-L73)</f>
        <v>43.1605128234114</v>
      </c>
    </row>
    <row r="75" customFormat="false" ht="15" hidden="false" customHeight="false" outlineLevel="0" collapsed="false">
      <c r="A75" s="7" t="s">
        <v>129</v>
      </c>
      <c r="C75" s="39" t="n">
        <f aca="false">C72-C74</f>
        <v>140.25</v>
      </c>
      <c r="D75" s="39" t="n">
        <f aca="false">D72-D74</f>
        <v>140.56875</v>
      </c>
      <c r="E75" s="39" t="n">
        <f aca="false">E72-E74</f>
        <v>120.4875</v>
      </c>
      <c r="F75" s="39" t="n">
        <f aca="false">F72-F74</f>
        <v>114.463125</v>
      </c>
      <c r="G75" s="39" t="n">
        <f aca="false">G72-G74</f>
        <v>111.6919125</v>
      </c>
      <c r="H75" s="39" t="n">
        <f aca="false">H72-H74</f>
        <v>115.042669875</v>
      </c>
      <c r="I75" s="39" t="n">
        <f aca="false">I72-I74</f>
        <v>118.49394997125</v>
      </c>
      <c r="J75" s="39" t="n">
        <f aca="false">J72-J74</f>
        <v>122.048768470388</v>
      </c>
      <c r="K75" s="39" t="n">
        <f aca="false">K72-K74</f>
        <v>125.710231524499</v>
      </c>
      <c r="L75" s="39" t="n">
        <f aca="false">L72-L74</f>
        <v>129.481538470234</v>
      </c>
    </row>
    <row r="76" customFormat="false" ht="15" hidden="false" customHeight="false" outlineLevel="0" collapsed="false">
      <c r="A76" s="12" t="s">
        <v>130</v>
      </c>
      <c r="C76" s="40" t="n">
        <f aca="false">1/(1+$B$27)^C$67</f>
        <v>0.900900900900901</v>
      </c>
      <c r="D76" s="40" t="n">
        <f aca="false">1/(1+$B$27)^D$67</f>
        <v>0.811622433244055</v>
      </c>
      <c r="E76" s="40" t="n">
        <f aca="false">1/(1+$B$27)^E$67</f>
        <v>0.73119138130095</v>
      </c>
      <c r="F76" s="40" t="n">
        <f aca="false">1/(1+$B$27)^F$67</f>
        <v>0.658730974145</v>
      </c>
      <c r="G76" s="40" t="n">
        <f aca="false">1/(1+$B$27)^G$67</f>
        <v>0.593451328058559</v>
      </c>
      <c r="H76" s="40" t="n">
        <f aca="false">1/(1+$B$27)^H$67</f>
        <v>0.534640836088791</v>
      </c>
      <c r="I76" s="40" t="n">
        <f aca="false">1/(1+$B$27)^I$67</f>
        <v>0.481658410890803</v>
      </c>
      <c r="J76" s="40" t="n">
        <f aca="false">1/(1+$B$27)^J$67</f>
        <v>0.433926496298021</v>
      </c>
      <c r="K76" s="40" t="n">
        <f aca="false">1/(1+$B$27)^K$67</f>
        <v>0.390924771439658</v>
      </c>
      <c r="L76" s="40" t="n">
        <f aca="false">1/(1+$B$27)^L$67</f>
        <v>0.352184478774467</v>
      </c>
    </row>
    <row r="77" customFormat="false" ht="15" hidden="false" customHeight="false" outlineLevel="0" collapsed="false">
      <c r="A77" s="12" t="s">
        <v>131</v>
      </c>
      <c r="C77" s="31" t="n">
        <f aca="false">C75*C76</f>
        <v>126.351351351351</v>
      </c>
      <c r="D77" s="31" t="n">
        <f aca="false">D75*D76</f>
        <v>114.088750913075</v>
      </c>
      <c r="E77" s="31" t="n">
        <f aca="false">E75*E76</f>
        <v>88.0994215544983</v>
      </c>
      <c r="F77" s="31" t="n">
        <f aca="false">F75*F76</f>
        <v>75.4004058349309</v>
      </c>
      <c r="G77" s="31" t="n">
        <f aca="false">G75*G76</f>
        <v>66.2837138065253</v>
      </c>
      <c r="H77" s="31" t="n">
        <f aca="false">H75*H76</f>
        <v>61.5065092078568</v>
      </c>
      <c r="I77" s="31" t="n">
        <f aca="false">I75*I76</f>
        <v>57.0736076433266</v>
      </c>
      <c r="J77" s="31" t="n">
        <f aca="false">J75*J76</f>
        <v>52.9601944798436</v>
      </c>
      <c r="K77" s="31" t="n">
        <f aca="false">K75*K76</f>
        <v>49.1432435263414</v>
      </c>
      <c r="L77" s="31" t="n">
        <f aca="false">L75*L76</f>
        <v>45.6013881370555</v>
      </c>
    </row>
    <row r="80" customFormat="false" ht="15" hidden="false" customHeight="false" outlineLevel="0" collapsed="false">
      <c r="A80" s="10" t="s">
        <v>132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customFormat="false" ht="15" hidden="false" customHeight="false" outlineLevel="0" collapsed="false">
      <c r="A81" s="7" t="s">
        <v>121</v>
      </c>
      <c r="C81" s="38" t="n">
        <v>1</v>
      </c>
      <c r="D81" s="38" t="n">
        <v>2</v>
      </c>
      <c r="E81" s="38" t="n">
        <v>3</v>
      </c>
      <c r="F81" s="38" t="n">
        <v>4</v>
      </c>
      <c r="G81" s="38" t="n">
        <v>5</v>
      </c>
      <c r="H81" s="38" t="n">
        <v>6</v>
      </c>
      <c r="I81" s="38" t="n">
        <v>7</v>
      </c>
      <c r="J81" s="38" t="n">
        <v>8</v>
      </c>
      <c r="K81" s="38" t="n">
        <v>9</v>
      </c>
      <c r="L81" s="38" t="n">
        <v>10</v>
      </c>
    </row>
    <row r="82" customFormat="false" ht="15" hidden="false" customHeight="false" outlineLevel="0" collapsed="false">
      <c r="A82" s="12" t="s">
        <v>122</v>
      </c>
      <c r="C82" s="31" t="n">
        <f aca="false">D$38</f>
        <v>450</v>
      </c>
      <c r="D82" s="31" t="n">
        <f aca="false">C82*(1+D83)</f>
        <v>562.5</v>
      </c>
      <c r="E82" s="31" t="n">
        <f aca="false">D82*(1+E83)</f>
        <v>663.75</v>
      </c>
      <c r="F82" s="31" t="n">
        <f aca="false">E82*(1+F83)</f>
        <v>743.4</v>
      </c>
      <c r="G82" s="31" t="n">
        <f aca="false">F82*(1+G83)</f>
        <v>802.872</v>
      </c>
      <c r="H82" s="31" t="n">
        <f aca="false">G82*(1+H83)</f>
        <v>859.07304</v>
      </c>
      <c r="I82" s="31" t="n">
        <f aca="false">H82*(1+I83)</f>
        <v>910.6174224</v>
      </c>
      <c r="J82" s="31" t="n">
        <f aca="false">I82*(1+J83)</f>
        <v>956.14829352</v>
      </c>
      <c r="K82" s="31" t="n">
        <f aca="false">J82*(1+K83)</f>
        <v>994.3942252608</v>
      </c>
      <c r="L82" s="31" t="n">
        <f aca="false">K82*(1+L83)</f>
        <v>1024.22605201862</v>
      </c>
    </row>
    <row r="83" customFormat="false" ht="15" hidden="false" customHeight="false" outlineLevel="0" collapsed="false">
      <c r="A83" s="12" t="s">
        <v>123</v>
      </c>
      <c r="C83" s="26" t="n">
        <f aca="false">C82/$B$10-1</f>
        <v>0.48529557381919</v>
      </c>
      <c r="D83" s="26" t="n">
        <f aca="false">D$39</f>
        <v>0.25</v>
      </c>
      <c r="E83" s="26" t="n">
        <f aca="false">D$40</f>
        <v>0.18</v>
      </c>
      <c r="F83" s="26" t="n">
        <f aca="false">D$41</f>
        <v>0.12</v>
      </c>
      <c r="G83" s="26" t="n">
        <f aca="false">D$42</f>
        <v>0.08</v>
      </c>
      <c r="H83" s="26" t="n">
        <f aca="false">G83+($B$29-$G83)/5</f>
        <v>0.07</v>
      </c>
      <c r="I83" s="26" t="n">
        <f aca="false">H83+($B$29-$G83)/5</f>
        <v>0.06</v>
      </c>
      <c r="J83" s="26" t="n">
        <f aca="false">I83+($B$29-$G83)/5</f>
        <v>0.05</v>
      </c>
      <c r="K83" s="26" t="n">
        <f aca="false">J83+($B$29-$G83)/5</f>
        <v>0.04</v>
      </c>
      <c r="L83" s="26" t="n">
        <f aca="false">K83+($B$29-$G83)/5</f>
        <v>0.03</v>
      </c>
    </row>
    <row r="84" customFormat="false" ht="15" hidden="false" customHeight="false" outlineLevel="0" collapsed="false">
      <c r="A84" s="12" t="s">
        <v>124</v>
      </c>
      <c r="C84" s="26" t="n">
        <f aca="false">D$43+(D$44-D$43)*MIN(C$81-1,4)/4</f>
        <v>0.62</v>
      </c>
      <c r="D84" s="26" t="n">
        <f aca="false">D$43+(D$44-D$43)*MIN(D$81-1,4)/4</f>
        <v>0.6025</v>
      </c>
      <c r="E84" s="26" t="n">
        <f aca="false">D$43+(D$44-D$43)*MIN(E$81-1,4)/4</f>
        <v>0.585</v>
      </c>
      <c r="F84" s="26" t="n">
        <f aca="false">D$43+(D$44-D$43)*MIN(F$81-1,4)/4</f>
        <v>0.5675</v>
      </c>
      <c r="G84" s="26" t="n">
        <f aca="false">D$43+(D$44-D$43)*MIN(G$81-1,4)/4</f>
        <v>0.55</v>
      </c>
      <c r="H84" s="26" t="n">
        <f aca="false">D$43+(D$44-D$43)*MIN(H$81-1,4)/4</f>
        <v>0.55</v>
      </c>
      <c r="I84" s="26" t="n">
        <f aca="false">D$43+(D$44-D$43)*MIN(I$81-1,4)/4</f>
        <v>0.55</v>
      </c>
      <c r="J84" s="26" t="n">
        <f aca="false">D$43+(D$44-D$43)*MIN(J$81-1,4)/4</f>
        <v>0.55</v>
      </c>
      <c r="K84" s="26" t="n">
        <f aca="false">D$43+(D$44-D$43)*MIN(K$81-1,4)/4</f>
        <v>0.55</v>
      </c>
      <c r="L84" s="26" t="n">
        <f aca="false">D$43+(D$44-D$43)*MIN(L$81-1,4)/4</f>
        <v>0.55</v>
      </c>
    </row>
    <row r="85" customFormat="false" ht="15" hidden="false" customHeight="false" outlineLevel="0" collapsed="false">
      <c r="A85" s="12" t="s">
        <v>125</v>
      </c>
      <c r="C85" s="31" t="n">
        <f aca="false">C82*C84</f>
        <v>279</v>
      </c>
      <c r="D85" s="31" t="n">
        <f aca="false">D82*D84</f>
        <v>338.90625</v>
      </c>
      <c r="E85" s="31" t="n">
        <f aca="false">E82*E84</f>
        <v>388.29375</v>
      </c>
      <c r="F85" s="31" t="n">
        <f aca="false">F82*F84</f>
        <v>421.8795</v>
      </c>
      <c r="G85" s="31" t="n">
        <f aca="false">G82*G84</f>
        <v>441.5796</v>
      </c>
      <c r="H85" s="31" t="n">
        <f aca="false">H82*H84</f>
        <v>472.490172</v>
      </c>
      <c r="I85" s="31" t="n">
        <f aca="false">I82*I84</f>
        <v>500.83958232</v>
      </c>
      <c r="J85" s="31" t="n">
        <f aca="false">J82*J84</f>
        <v>525.881561436</v>
      </c>
      <c r="K85" s="31" t="n">
        <f aca="false">K82*K84</f>
        <v>546.91682389344</v>
      </c>
      <c r="L85" s="31" t="n">
        <f aca="false">L82*L84</f>
        <v>563.324328610244</v>
      </c>
    </row>
    <row r="86" customFormat="false" ht="15" hidden="false" customHeight="false" outlineLevel="0" collapsed="false">
      <c r="A86" s="12" t="s">
        <v>126</v>
      </c>
      <c r="C86" s="31" t="n">
        <f aca="false">C85*(1-$B$11)</f>
        <v>237.15</v>
      </c>
      <c r="D86" s="31" t="n">
        <f aca="false">D85*(1-$B$11)</f>
        <v>288.0703125</v>
      </c>
      <c r="E86" s="31" t="n">
        <f aca="false">E85*(1-$B$11)</f>
        <v>330.0496875</v>
      </c>
      <c r="F86" s="31" t="n">
        <f aca="false">F85*(1-$B$11)</f>
        <v>358.597575</v>
      </c>
      <c r="G86" s="31" t="n">
        <f aca="false">G85*(1-$B$11)</f>
        <v>375.34266</v>
      </c>
      <c r="H86" s="31" t="n">
        <f aca="false">H85*(1-$B$11)</f>
        <v>401.6166462</v>
      </c>
      <c r="I86" s="31" t="n">
        <f aca="false">I85*(1-$B$11)</f>
        <v>425.713644972</v>
      </c>
      <c r="J86" s="31" t="n">
        <f aca="false">J85*(1-$B$11)</f>
        <v>446.9993272206</v>
      </c>
      <c r="K86" s="31" t="n">
        <f aca="false">K85*(1-$B$11)</f>
        <v>464.879300309424</v>
      </c>
      <c r="L86" s="31" t="n">
        <f aca="false">L85*(1-$B$11)</f>
        <v>478.825679318707</v>
      </c>
    </row>
    <row r="87" customFormat="false" ht="15" hidden="false" customHeight="false" outlineLevel="0" collapsed="false">
      <c r="A87" s="12" t="s">
        <v>127</v>
      </c>
      <c r="C87" s="26" t="n">
        <f aca="false">D$45+(D$46-D$45)*MIN(C$81-1,4)/4</f>
        <v>0.75</v>
      </c>
      <c r="D87" s="26" t="n">
        <f aca="false">D$45+(D$46-D$45)*MIN(D$81-1,4)/4</f>
        <v>0.7625</v>
      </c>
      <c r="E87" s="26" t="n">
        <f aca="false">D$45+(D$46-D$45)*MIN(E$81-1,4)/4</f>
        <v>0.775</v>
      </c>
      <c r="F87" s="26" t="n">
        <f aca="false">D$45+(D$46-D$45)*MIN(F$81-1,4)/4</f>
        <v>0.7875</v>
      </c>
      <c r="G87" s="26" t="n">
        <f aca="false">D$45+(D$46-D$45)*MIN(G$81-1,4)/4</f>
        <v>0.8</v>
      </c>
      <c r="H87" s="26" t="n">
        <f aca="false">D$45+(D$46-D$45)*MIN(H$81-1,4)/4</f>
        <v>0.8</v>
      </c>
      <c r="I87" s="26" t="n">
        <f aca="false">D$45+(D$46-D$45)*MIN(I$81-1,4)/4</f>
        <v>0.8</v>
      </c>
      <c r="J87" s="26" t="n">
        <f aca="false">D$45+(D$46-D$45)*MIN(J$81-1,4)/4</f>
        <v>0.8</v>
      </c>
      <c r="K87" s="26" t="n">
        <f aca="false">D$45+(D$46-D$45)*MIN(K$81-1,4)/4</f>
        <v>0.8</v>
      </c>
      <c r="L87" s="26" t="n">
        <f aca="false">D$45+(D$46-D$45)*MIN(L$81-1,4)/4</f>
        <v>0.8</v>
      </c>
    </row>
    <row r="88" customFormat="false" ht="15" hidden="false" customHeight="false" outlineLevel="0" collapsed="false">
      <c r="A88" s="12" t="s">
        <v>128</v>
      </c>
      <c r="C88" s="31" t="n">
        <f aca="false">C86*(1-C87)</f>
        <v>59.2875</v>
      </c>
      <c r="D88" s="31" t="n">
        <f aca="false">D86*(1-D87)</f>
        <v>68.41669921875</v>
      </c>
      <c r="E88" s="31" t="n">
        <f aca="false">E86*(1-E87)</f>
        <v>74.2611796875</v>
      </c>
      <c r="F88" s="31" t="n">
        <f aca="false">F86*(1-F87)</f>
        <v>76.2019846875</v>
      </c>
      <c r="G88" s="31" t="n">
        <f aca="false">G86*(1-G87)</f>
        <v>75.068532</v>
      </c>
      <c r="H88" s="31" t="n">
        <f aca="false">H86*(1-H87)</f>
        <v>80.32332924</v>
      </c>
      <c r="I88" s="31" t="n">
        <f aca="false">I86*(1-I87)</f>
        <v>85.1427289944</v>
      </c>
      <c r="J88" s="31" t="n">
        <f aca="false">J86*(1-J87)</f>
        <v>89.39986544412</v>
      </c>
      <c r="K88" s="31" t="n">
        <f aca="false">K86*(1-K87)</f>
        <v>92.9758600618848</v>
      </c>
      <c r="L88" s="31" t="n">
        <f aca="false">L86*(1-L87)</f>
        <v>95.7651358637414</v>
      </c>
    </row>
    <row r="89" customFormat="false" ht="15" hidden="false" customHeight="false" outlineLevel="0" collapsed="false">
      <c r="A89" s="7" t="s">
        <v>129</v>
      </c>
      <c r="C89" s="39" t="n">
        <f aca="false">C86-C88</f>
        <v>177.8625</v>
      </c>
      <c r="D89" s="39" t="n">
        <f aca="false">D86-D88</f>
        <v>219.65361328125</v>
      </c>
      <c r="E89" s="39" t="n">
        <f aca="false">E86-E88</f>
        <v>255.7885078125</v>
      </c>
      <c r="F89" s="39" t="n">
        <f aca="false">F86-F88</f>
        <v>282.3955903125</v>
      </c>
      <c r="G89" s="39" t="n">
        <f aca="false">G86-G88</f>
        <v>300.274128</v>
      </c>
      <c r="H89" s="39" t="n">
        <f aca="false">H86-H88</f>
        <v>321.29331696</v>
      </c>
      <c r="I89" s="39" t="n">
        <f aca="false">I86-I88</f>
        <v>340.5709159776</v>
      </c>
      <c r="J89" s="39" t="n">
        <f aca="false">J86-J88</f>
        <v>357.59946177648</v>
      </c>
      <c r="K89" s="39" t="n">
        <f aca="false">K86-K88</f>
        <v>371.903440247539</v>
      </c>
      <c r="L89" s="39" t="n">
        <f aca="false">L86-L88</f>
        <v>383.060543454966</v>
      </c>
    </row>
    <row r="90" customFormat="false" ht="15" hidden="false" customHeight="false" outlineLevel="0" collapsed="false">
      <c r="A90" s="12" t="s">
        <v>130</v>
      </c>
      <c r="C90" s="40" t="n">
        <f aca="false">1/(1+$B$27)^C$81</f>
        <v>0.900900900900901</v>
      </c>
      <c r="D90" s="40" t="n">
        <f aca="false">1/(1+$B$27)^D$81</f>
        <v>0.811622433244055</v>
      </c>
      <c r="E90" s="40" t="n">
        <f aca="false">1/(1+$B$27)^E$81</f>
        <v>0.73119138130095</v>
      </c>
      <c r="F90" s="40" t="n">
        <f aca="false">1/(1+$B$27)^F$81</f>
        <v>0.658730974145</v>
      </c>
      <c r="G90" s="40" t="n">
        <f aca="false">1/(1+$B$27)^G$81</f>
        <v>0.593451328058559</v>
      </c>
      <c r="H90" s="40" t="n">
        <f aca="false">1/(1+$B$27)^H$81</f>
        <v>0.534640836088791</v>
      </c>
      <c r="I90" s="40" t="n">
        <f aca="false">1/(1+$B$27)^I$81</f>
        <v>0.481658410890803</v>
      </c>
      <c r="J90" s="40" t="n">
        <f aca="false">1/(1+$B$27)^J$81</f>
        <v>0.433926496298021</v>
      </c>
      <c r="K90" s="40" t="n">
        <f aca="false">1/(1+$B$27)^K$81</f>
        <v>0.390924771439658</v>
      </c>
      <c r="L90" s="40" t="n">
        <f aca="false">1/(1+$B$27)^L$81</f>
        <v>0.352184478774467</v>
      </c>
    </row>
    <row r="91" customFormat="false" ht="15" hidden="false" customHeight="false" outlineLevel="0" collapsed="false">
      <c r="A91" s="12" t="s">
        <v>131</v>
      </c>
      <c r="C91" s="31" t="n">
        <f aca="false">C89*C90</f>
        <v>160.236486486486</v>
      </c>
      <c r="D91" s="31" t="n">
        <f aca="false">D89*D90</f>
        <v>178.275800082177</v>
      </c>
      <c r="E91" s="31" t="n">
        <f aca="false">E89*E90</f>
        <v>187.030352348331</v>
      </c>
      <c r="F91" s="31" t="n">
        <f aca="false">F89*F90</f>
        <v>186.022722300806</v>
      </c>
      <c r="G91" s="31" t="n">
        <f aca="false">G89*G90</f>
        <v>178.198080043226</v>
      </c>
      <c r="H91" s="31" t="n">
        <f aca="false">H89*H90</f>
        <v>171.776527609236</v>
      </c>
      <c r="I91" s="31" t="n">
        <f aca="false">I89*I90</f>
        <v>164.038846185396</v>
      </c>
      <c r="J91" s="31" t="n">
        <f aca="false">J89*J90</f>
        <v>155.171881526726</v>
      </c>
      <c r="K91" s="31" t="n">
        <f aca="false">K89*K90</f>
        <v>145.386267376392</v>
      </c>
      <c r="L91" s="31" t="n">
        <f aca="false">L89*L90</f>
        <v>134.907977835751</v>
      </c>
    </row>
    <row r="94" customFormat="false" ht="15" hidden="false" customHeight="false" outlineLevel="0" collapsed="false">
      <c r="A94" s="10" t="s">
        <v>133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" hidden="false" customHeight="false" outlineLevel="0" collapsed="false">
      <c r="A95" s="7" t="s">
        <v>121</v>
      </c>
      <c r="C95" s="38" t="n">
        <v>1</v>
      </c>
      <c r="D95" s="38" t="n">
        <v>2</v>
      </c>
      <c r="E95" s="38" t="n">
        <v>3</v>
      </c>
      <c r="F95" s="38" t="n">
        <v>4</v>
      </c>
      <c r="G95" s="38" t="n">
        <v>5</v>
      </c>
      <c r="H95" s="38" t="n">
        <v>6</v>
      </c>
      <c r="I95" s="38" t="n">
        <v>7</v>
      </c>
      <c r="J95" s="38" t="n">
        <v>8</v>
      </c>
      <c r="K95" s="38" t="n">
        <v>9</v>
      </c>
      <c r="L95" s="38" t="n">
        <v>10</v>
      </c>
    </row>
    <row r="96" customFormat="false" ht="15" hidden="false" customHeight="false" outlineLevel="0" collapsed="false">
      <c r="A96" s="12" t="s">
        <v>122</v>
      </c>
      <c r="C96" s="31" t="n">
        <f aca="false">E$38</f>
        <v>500</v>
      </c>
      <c r="D96" s="31" t="n">
        <f aca="false">C96*(1+D97)</f>
        <v>675</v>
      </c>
      <c r="E96" s="31" t="n">
        <f aca="false">D96*(1+E97)</f>
        <v>843.75</v>
      </c>
      <c r="F96" s="31" t="n">
        <f aca="false">E96*(1+F97)</f>
        <v>995.625</v>
      </c>
      <c r="G96" s="31" t="n">
        <f aca="false">F96*(1+G97)</f>
        <v>1115.1</v>
      </c>
      <c r="H96" s="31" t="n">
        <f aca="false">G96*(1+H97)</f>
        <v>1228.8402</v>
      </c>
      <c r="I96" s="31" t="n">
        <f aca="false">H96*(1+I97)</f>
        <v>1332.0627768</v>
      </c>
      <c r="J96" s="31" t="n">
        <f aca="false">I96*(1+J97)</f>
        <v>1419.9789200688</v>
      </c>
      <c r="K96" s="31" t="n">
        <f aca="false">J96*(1+K97)</f>
        <v>1488.1379082321</v>
      </c>
      <c r="L96" s="31" t="n">
        <f aca="false">K96*(1+L97)</f>
        <v>1532.78204547907</v>
      </c>
    </row>
    <row r="97" customFormat="false" ht="15" hidden="false" customHeight="false" outlineLevel="0" collapsed="false">
      <c r="A97" s="12" t="s">
        <v>123</v>
      </c>
      <c r="C97" s="26" t="n">
        <f aca="false">C96/$B$10-1</f>
        <v>0.650328415354655</v>
      </c>
      <c r="D97" s="26" t="n">
        <f aca="false">E$39</f>
        <v>0.35</v>
      </c>
      <c r="E97" s="26" t="n">
        <f aca="false">E$40</f>
        <v>0.25</v>
      </c>
      <c r="F97" s="26" t="n">
        <f aca="false">E$41</f>
        <v>0.18</v>
      </c>
      <c r="G97" s="26" t="n">
        <f aca="false">E$42</f>
        <v>0.12</v>
      </c>
      <c r="H97" s="26" t="n">
        <f aca="false">G97+($B$29-$G97)/5</f>
        <v>0.102</v>
      </c>
      <c r="I97" s="26" t="n">
        <f aca="false">H97+($B$29-$G97)/5</f>
        <v>0.084</v>
      </c>
      <c r="J97" s="26" t="n">
        <f aca="false">I97+($B$29-$G97)/5</f>
        <v>0.066</v>
      </c>
      <c r="K97" s="26" t="n">
        <f aca="false">J97+($B$29-$G97)/5</f>
        <v>0.048</v>
      </c>
      <c r="L97" s="26" t="n">
        <f aca="false">K97+($B$29-$G97)/5</f>
        <v>0.03</v>
      </c>
    </row>
    <row r="98" customFormat="false" ht="15" hidden="false" customHeight="false" outlineLevel="0" collapsed="false">
      <c r="A98" s="12" t="s">
        <v>124</v>
      </c>
      <c r="C98" s="26" t="n">
        <f aca="false">E$43+(E$44-E$43)*MIN(C$95-1,4)/4</f>
        <v>0.65</v>
      </c>
      <c r="D98" s="26" t="n">
        <f aca="false">E$43+(E$44-E$43)*MIN(D$95-1,4)/4</f>
        <v>0.6425</v>
      </c>
      <c r="E98" s="26" t="n">
        <f aca="false">E$43+(E$44-E$43)*MIN(E$95-1,4)/4</f>
        <v>0.635</v>
      </c>
      <c r="F98" s="26" t="n">
        <f aca="false">E$43+(E$44-E$43)*MIN(F$95-1,4)/4</f>
        <v>0.6275</v>
      </c>
      <c r="G98" s="26" t="n">
        <f aca="false">E$43+(E$44-E$43)*MIN(G$95-1,4)/4</f>
        <v>0.62</v>
      </c>
      <c r="H98" s="26" t="n">
        <f aca="false">E$43+(E$44-E$43)*MIN(H$95-1,4)/4</f>
        <v>0.62</v>
      </c>
      <c r="I98" s="26" t="n">
        <f aca="false">E$43+(E$44-E$43)*MIN(I$95-1,4)/4</f>
        <v>0.62</v>
      </c>
      <c r="J98" s="26" t="n">
        <f aca="false">E$43+(E$44-E$43)*MIN(J$95-1,4)/4</f>
        <v>0.62</v>
      </c>
      <c r="K98" s="26" t="n">
        <f aca="false">E$43+(E$44-E$43)*MIN(K$95-1,4)/4</f>
        <v>0.62</v>
      </c>
      <c r="L98" s="26" t="n">
        <f aca="false">E$43+(E$44-E$43)*MIN(L$95-1,4)/4</f>
        <v>0.62</v>
      </c>
    </row>
    <row r="99" customFormat="false" ht="15" hidden="false" customHeight="false" outlineLevel="0" collapsed="false">
      <c r="A99" s="12" t="s">
        <v>125</v>
      </c>
      <c r="C99" s="31" t="n">
        <f aca="false">C96*C98</f>
        <v>325</v>
      </c>
      <c r="D99" s="31" t="n">
        <f aca="false">D96*D98</f>
        <v>433.6875</v>
      </c>
      <c r="E99" s="31" t="n">
        <f aca="false">E96*E98</f>
        <v>535.78125</v>
      </c>
      <c r="F99" s="31" t="n">
        <f aca="false">F96*F98</f>
        <v>624.7546875</v>
      </c>
      <c r="G99" s="31" t="n">
        <f aca="false">G96*G98</f>
        <v>691.362</v>
      </c>
      <c r="H99" s="31" t="n">
        <f aca="false">H96*H98</f>
        <v>761.880924</v>
      </c>
      <c r="I99" s="31" t="n">
        <f aca="false">I96*I98</f>
        <v>825.878921616</v>
      </c>
      <c r="J99" s="31" t="n">
        <f aca="false">J96*J98</f>
        <v>880.386930442656</v>
      </c>
      <c r="K99" s="31" t="n">
        <f aca="false">K96*K98</f>
        <v>922.645503103904</v>
      </c>
      <c r="L99" s="31" t="n">
        <f aca="false">L96*L98</f>
        <v>950.324868197021</v>
      </c>
    </row>
    <row r="100" customFormat="false" ht="15" hidden="false" customHeight="false" outlineLevel="0" collapsed="false">
      <c r="A100" s="12" t="s">
        <v>126</v>
      </c>
      <c r="C100" s="31" t="n">
        <f aca="false">C99*(1-$B$11)</f>
        <v>276.25</v>
      </c>
      <c r="D100" s="31" t="n">
        <f aca="false">D99*(1-$B$11)</f>
        <v>368.634375</v>
      </c>
      <c r="E100" s="31" t="n">
        <f aca="false">E99*(1-$B$11)</f>
        <v>455.4140625</v>
      </c>
      <c r="F100" s="31" t="n">
        <f aca="false">F99*(1-$B$11)</f>
        <v>531.041484375</v>
      </c>
      <c r="G100" s="31" t="n">
        <f aca="false">G99*(1-$B$11)</f>
        <v>587.6577</v>
      </c>
      <c r="H100" s="31" t="n">
        <f aca="false">H99*(1-$B$11)</f>
        <v>647.5987854</v>
      </c>
      <c r="I100" s="31" t="n">
        <f aca="false">I99*(1-$B$11)</f>
        <v>701.9970833736</v>
      </c>
      <c r="J100" s="31" t="n">
        <f aca="false">J99*(1-$B$11)</f>
        <v>748.328890876258</v>
      </c>
      <c r="K100" s="31" t="n">
        <f aca="false">K99*(1-$B$11)</f>
        <v>784.248677638318</v>
      </c>
      <c r="L100" s="31" t="n">
        <f aca="false">L99*(1-$B$11)</f>
        <v>807.776137967468</v>
      </c>
    </row>
    <row r="101" customFormat="false" ht="15" hidden="false" customHeight="false" outlineLevel="0" collapsed="false">
      <c r="A101" s="12" t="s">
        <v>127</v>
      </c>
      <c r="C101" s="26" t="n">
        <f aca="false">E$45+(E$46-E$45)*MIN(C$95-1,4)/4</f>
        <v>0.75</v>
      </c>
      <c r="D101" s="26" t="n">
        <f aca="false">E$45+(E$46-E$45)*MIN(D$95-1,4)/4</f>
        <v>0.775</v>
      </c>
      <c r="E101" s="26" t="n">
        <f aca="false">E$45+(E$46-E$45)*MIN(E$95-1,4)/4</f>
        <v>0.8</v>
      </c>
      <c r="F101" s="26" t="n">
        <f aca="false">E$45+(E$46-E$45)*MIN(F$95-1,4)/4</f>
        <v>0.825</v>
      </c>
      <c r="G101" s="26" t="n">
        <f aca="false">E$45+(E$46-E$45)*MIN(G$95-1,4)/4</f>
        <v>0.85</v>
      </c>
      <c r="H101" s="26" t="n">
        <f aca="false">E$45+(E$46-E$45)*MIN(H$95-1,4)/4</f>
        <v>0.85</v>
      </c>
      <c r="I101" s="26" t="n">
        <f aca="false">E$45+(E$46-E$45)*MIN(I$95-1,4)/4</f>
        <v>0.85</v>
      </c>
      <c r="J101" s="26" t="n">
        <f aca="false">E$45+(E$46-E$45)*MIN(J$95-1,4)/4</f>
        <v>0.85</v>
      </c>
      <c r="K101" s="26" t="n">
        <f aca="false">E$45+(E$46-E$45)*MIN(K$95-1,4)/4</f>
        <v>0.85</v>
      </c>
      <c r="L101" s="26" t="n">
        <f aca="false">E$45+(E$46-E$45)*MIN(L$95-1,4)/4</f>
        <v>0.85</v>
      </c>
    </row>
    <row r="102" customFormat="false" ht="15" hidden="false" customHeight="false" outlineLevel="0" collapsed="false">
      <c r="A102" s="12" t="s">
        <v>128</v>
      </c>
      <c r="C102" s="31" t="n">
        <f aca="false">C100*(1-C101)</f>
        <v>69.0625</v>
      </c>
      <c r="D102" s="31" t="n">
        <f aca="false">D100*(1-D101)</f>
        <v>82.942734375</v>
      </c>
      <c r="E102" s="31" t="n">
        <f aca="false">E100*(1-E101)</f>
        <v>91.0828125</v>
      </c>
      <c r="F102" s="31" t="n">
        <f aca="false">F100*(1-F101)</f>
        <v>92.932259765625</v>
      </c>
      <c r="G102" s="31" t="n">
        <f aca="false">G100*(1-G101)</f>
        <v>88.148655</v>
      </c>
      <c r="H102" s="31" t="n">
        <f aca="false">H100*(1-H101)</f>
        <v>97.13981781</v>
      </c>
      <c r="I102" s="31" t="n">
        <f aca="false">I100*(1-I101)</f>
        <v>105.29956250604</v>
      </c>
      <c r="J102" s="31" t="n">
        <f aca="false">J100*(1-J101)</f>
        <v>112.249333631439</v>
      </c>
      <c r="K102" s="31" t="n">
        <f aca="false">K100*(1-K101)</f>
        <v>117.637301645748</v>
      </c>
      <c r="L102" s="31" t="n">
        <f aca="false">L100*(1-L101)</f>
        <v>121.16642069512</v>
      </c>
    </row>
    <row r="103" customFormat="false" ht="15" hidden="false" customHeight="false" outlineLevel="0" collapsed="false">
      <c r="A103" s="7" t="s">
        <v>129</v>
      </c>
      <c r="C103" s="39" t="n">
        <f aca="false">C100-C102</f>
        <v>207.1875</v>
      </c>
      <c r="D103" s="39" t="n">
        <f aca="false">D100-D102</f>
        <v>285.691640625</v>
      </c>
      <c r="E103" s="39" t="n">
        <f aca="false">E100-E102</f>
        <v>364.33125</v>
      </c>
      <c r="F103" s="39" t="n">
        <f aca="false">F100-F102</f>
        <v>438.109224609375</v>
      </c>
      <c r="G103" s="39" t="n">
        <f aca="false">G100-G102</f>
        <v>499.509045</v>
      </c>
      <c r="H103" s="39" t="n">
        <f aca="false">H100-H102</f>
        <v>550.45896759</v>
      </c>
      <c r="I103" s="39" t="n">
        <f aca="false">I100-I102</f>
        <v>596.69752086756</v>
      </c>
      <c r="J103" s="39" t="n">
        <f aca="false">J100-J102</f>
        <v>636.079557244819</v>
      </c>
      <c r="K103" s="39" t="n">
        <f aca="false">K100-K102</f>
        <v>666.61137599257</v>
      </c>
      <c r="L103" s="39" t="n">
        <f aca="false">L100-L102</f>
        <v>686.609717272348</v>
      </c>
    </row>
    <row r="104" customFormat="false" ht="15" hidden="false" customHeight="false" outlineLevel="0" collapsed="false">
      <c r="A104" s="12" t="s">
        <v>130</v>
      </c>
      <c r="C104" s="40" t="n">
        <f aca="false">1/(1+$B$27)^C$95</f>
        <v>0.900900900900901</v>
      </c>
      <c r="D104" s="40" t="n">
        <f aca="false">1/(1+$B$27)^D$95</f>
        <v>0.811622433244055</v>
      </c>
      <c r="E104" s="40" t="n">
        <f aca="false">1/(1+$B$27)^E$95</f>
        <v>0.73119138130095</v>
      </c>
      <c r="F104" s="40" t="n">
        <f aca="false">1/(1+$B$27)^F$95</f>
        <v>0.658730974145</v>
      </c>
      <c r="G104" s="40" t="n">
        <f aca="false">1/(1+$B$27)^G$95</f>
        <v>0.593451328058559</v>
      </c>
      <c r="H104" s="40" t="n">
        <f aca="false">1/(1+$B$27)^H$95</f>
        <v>0.534640836088791</v>
      </c>
      <c r="I104" s="40" t="n">
        <f aca="false">1/(1+$B$27)^I$95</f>
        <v>0.481658410890803</v>
      </c>
      <c r="J104" s="40" t="n">
        <f aca="false">1/(1+$B$27)^J$95</f>
        <v>0.433926496298021</v>
      </c>
      <c r="K104" s="40" t="n">
        <f aca="false">1/(1+$B$27)^K$95</f>
        <v>0.390924771439658</v>
      </c>
      <c r="L104" s="40" t="n">
        <f aca="false">1/(1+$B$27)^L$95</f>
        <v>0.352184478774467</v>
      </c>
    </row>
    <row r="105" customFormat="false" ht="15" hidden="false" customHeight="false" outlineLevel="0" collapsed="false">
      <c r="A105" s="12" t="s">
        <v>131</v>
      </c>
      <c r="C105" s="31" t="n">
        <f aca="false">C103*C104</f>
        <v>186.655405405405</v>
      </c>
      <c r="D105" s="31" t="n">
        <f aca="false">D103*D104</f>
        <v>231.873744521549</v>
      </c>
      <c r="E105" s="31" t="n">
        <f aca="false">E103*E104</f>
        <v>266.395869938602</v>
      </c>
      <c r="F105" s="31" t="n">
        <f aca="false">F103*F104</f>
        <v>288.596116308844</v>
      </c>
      <c r="G105" s="31" t="n">
        <f aca="false">G103*G104</f>
        <v>296.434306132512</v>
      </c>
      <c r="H105" s="31" t="n">
        <f aca="false">H103*H104</f>
        <v>294.297842664891</v>
      </c>
      <c r="I105" s="31" t="n">
        <f aca="false">I103*I104</f>
        <v>287.404379683551</v>
      </c>
      <c r="J105" s="31" t="n">
        <f aca="false">J103*J104</f>
        <v>276.011773642041</v>
      </c>
      <c r="K105" s="31" t="n">
        <f aca="false">K103*K104</f>
        <v>260.594899798972</v>
      </c>
      <c r="L105" s="31" t="n">
        <f aca="false">L103*L104</f>
        <v>241.813285399046</v>
      </c>
    </row>
    <row r="108" customFormat="false" ht="15" hidden="false" customHeight="false" outlineLevel="0" collapsed="false">
      <c r="A108" s="10" t="s">
        <v>134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customFormat="false" ht="15" hidden="false" customHeight="false" outlineLevel="0" collapsed="false">
      <c r="A109" s="7" t="s">
        <v>121</v>
      </c>
      <c r="C109" s="38" t="n">
        <v>1</v>
      </c>
      <c r="D109" s="38" t="n">
        <v>2</v>
      </c>
      <c r="E109" s="38" t="n">
        <v>3</v>
      </c>
      <c r="F109" s="38" t="n">
        <v>4</v>
      </c>
      <c r="G109" s="38" t="n">
        <v>5</v>
      </c>
      <c r="H109" s="38" t="n">
        <v>6</v>
      </c>
      <c r="I109" s="38" t="n">
        <v>7</v>
      </c>
      <c r="J109" s="38" t="n">
        <v>8</v>
      </c>
      <c r="K109" s="38" t="n">
        <v>9</v>
      </c>
      <c r="L109" s="38" t="n">
        <v>10</v>
      </c>
    </row>
    <row r="110" customFormat="false" ht="15" hidden="false" customHeight="false" outlineLevel="0" collapsed="false">
      <c r="A110" s="12" t="s">
        <v>122</v>
      </c>
      <c r="C110" s="31" t="n">
        <f aca="false">F$38</f>
        <v>450</v>
      </c>
      <c r="D110" s="31" t="n">
        <f aca="false">C110*(1+D111)</f>
        <v>652.96125</v>
      </c>
      <c r="E110" s="31" t="n">
        <f aca="false">D110*(1+E111)</f>
        <v>865.0025804025</v>
      </c>
      <c r="F110" s="31" t="n">
        <f aca="false">E110*(1+F111)</f>
        <v>1052.268719039</v>
      </c>
      <c r="G110" s="31" t="n">
        <f aca="false">F110*(1+G111)</f>
        <v>1204.14055872046</v>
      </c>
      <c r="H110" s="31" t="n">
        <f aca="false">G110*(1+H111)</f>
        <v>1350.39836091999</v>
      </c>
      <c r="I110" s="31" t="n">
        <f aca="false">H110*(1+I111)</f>
        <v>1483.54331803194</v>
      </c>
      <c r="J110" s="31" t="n">
        <f aca="false">I110*(1+J111)</f>
        <v>1595.89383375848</v>
      </c>
      <c r="K110" s="31" t="n">
        <f aca="false">J110*(1+K111)</f>
        <v>1680.26171881643</v>
      </c>
      <c r="L110" s="31" t="n">
        <f aca="false">K110*(1+L111)</f>
        <v>1730.66957038092</v>
      </c>
    </row>
    <row r="111" customFormat="false" ht="15" hidden="false" customHeight="false" outlineLevel="0" collapsed="false">
      <c r="A111" s="12" t="s">
        <v>123</v>
      </c>
      <c r="C111" s="26" t="n">
        <f aca="false">C110/$B$10-1</f>
        <v>0.48529557381919</v>
      </c>
      <c r="D111" s="26" t="n">
        <f aca="false">F$39</f>
        <v>0.451025</v>
      </c>
      <c r="E111" s="26" t="n">
        <f aca="false">F$40</f>
        <v>0.324738</v>
      </c>
      <c r="F111" s="26" t="n">
        <f aca="false">F$41</f>
        <v>0.216492</v>
      </c>
      <c r="G111" s="26" t="n">
        <f aca="false">F$42</f>
        <v>0.144328</v>
      </c>
      <c r="H111" s="26" t="n">
        <f aca="false">G111+($B$29-$G111)/5</f>
        <v>0.1214624</v>
      </c>
      <c r="I111" s="26" t="n">
        <f aca="false">H111+($B$29-$G111)/5</f>
        <v>0.0985968</v>
      </c>
      <c r="J111" s="26" t="n">
        <f aca="false">I111+($B$29-$G111)/5</f>
        <v>0.0757312</v>
      </c>
      <c r="K111" s="26" t="n">
        <f aca="false">J111+($B$29-$G111)/5</f>
        <v>0.0528656</v>
      </c>
      <c r="L111" s="26" t="n">
        <f aca="false">K111+($B$29-$G111)/5</f>
        <v>0.03</v>
      </c>
    </row>
    <row r="112" customFormat="false" ht="15" hidden="false" customHeight="false" outlineLevel="0" collapsed="false">
      <c r="A112" s="12" t="s">
        <v>124</v>
      </c>
      <c r="C112" s="26" t="n">
        <f aca="false">F$43+(F$44-F$43)*MIN(C$109-1,4)/4</f>
        <v>0.62</v>
      </c>
      <c r="D112" s="26" t="n">
        <f aca="false">F$43+(F$44-F$43)*MIN(D$109-1,4)/4</f>
        <v>0.6025</v>
      </c>
      <c r="E112" s="26" t="n">
        <f aca="false">F$43+(F$44-F$43)*MIN(E$109-1,4)/4</f>
        <v>0.585</v>
      </c>
      <c r="F112" s="26" t="n">
        <f aca="false">F$43+(F$44-F$43)*MIN(F$109-1,4)/4</f>
        <v>0.5675</v>
      </c>
      <c r="G112" s="26" t="n">
        <f aca="false">F$43+(F$44-F$43)*MIN(G$109-1,4)/4</f>
        <v>0.55</v>
      </c>
      <c r="H112" s="26" t="n">
        <f aca="false">F$43+(F$44-F$43)*MIN(H$109-1,4)/4</f>
        <v>0.55</v>
      </c>
      <c r="I112" s="26" t="n">
        <f aca="false">F$43+(F$44-F$43)*MIN(I$109-1,4)/4</f>
        <v>0.55</v>
      </c>
      <c r="J112" s="26" t="n">
        <f aca="false">F$43+(F$44-F$43)*MIN(J$109-1,4)/4</f>
        <v>0.55</v>
      </c>
      <c r="K112" s="26" t="n">
        <f aca="false">F$43+(F$44-F$43)*MIN(K$109-1,4)/4</f>
        <v>0.55</v>
      </c>
      <c r="L112" s="26" t="n">
        <f aca="false">F$43+(F$44-F$43)*MIN(L$109-1,4)/4</f>
        <v>0.55</v>
      </c>
    </row>
    <row r="113" customFormat="false" ht="15" hidden="false" customHeight="false" outlineLevel="0" collapsed="false">
      <c r="A113" s="12" t="s">
        <v>125</v>
      </c>
      <c r="C113" s="31" t="n">
        <f aca="false">C110*C112</f>
        <v>279</v>
      </c>
      <c r="D113" s="31" t="n">
        <f aca="false">D110*D112</f>
        <v>393.409153125</v>
      </c>
      <c r="E113" s="31" t="n">
        <f aca="false">E110*E112</f>
        <v>506.026509535462</v>
      </c>
      <c r="F113" s="31" t="n">
        <f aca="false">F110*F112</f>
        <v>597.162498054631</v>
      </c>
      <c r="G113" s="31" t="n">
        <f aca="false">G110*G112</f>
        <v>662.277307296252</v>
      </c>
      <c r="H113" s="31" t="n">
        <f aca="false">H110*H112</f>
        <v>742.719098505992</v>
      </c>
      <c r="I113" s="31" t="n">
        <f aca="false">I110*I112</f>
        <v>815.948824917568</v>
      </c>
      <c r="J113" s="31" t="n">
        <f aca="false">J110*J112</f>
        <v>877.741608567166</v>
      </c>
      <c r="K113" s="31" t="n">
        <f aca="false">K110*K112</f>
        <v>924.143945349034</v>
      </c>
      <c r="L113" s="31" t="n">
        <f aca="false">L110*L112</f>
        <v>951.868263709505</v>
      </c>
    </row>
    <row r="114" customFormat="false" ht="15" hidden="false" customHeight="false" outlineLevel="0" collapsed="false">
      <c r="A114" s="12" t="s">
        <v>126</v>
      </c>
      <c r="C114" s="31" t="n">
        <f aca="false">C113*(1-$B$11)</f>
        <v>237.15</v>
      </c>
      <c r="D114" s="31" t="n">
        <f aca="false">D113*(1-$B$11)</f>
        <v>334.39778015625</v>
      </c>
      <c r="E114" s="31" t="n">
        <f aca="false">E113*(1-$B$11)</f>
        <v>430.122533105143</v>
      </c>
      <c r="F114" s="31" t="n">
        <f aca="false">F113*(1-$B$11)</f>
        <v>507.588123346437</v>
      </c>
      <c r="G114" s="31" t="n">
        <f aca="false">G113*(1-$B$11)</f>
        <v>562.935711201814</v>
      </c>
      <c r="H114" s="31" t="n">
        <f aca="false">H113*(1-$B$11)</f>
        <v>631.311233730094</v>
      </c>
      <c r="I114" s="31" t="n">
        <f aca="false">I113*(1-$B$11)</f>
        <v>693.556501179933</v>
      </c>
      <c r="J114" s="31" t="n">
        <f aca="false">J113*(1-$B$11)</f>
        <v>746.080367282091</v>
      </c>
      <c r="K114" s="31" t="n">
        <f aca="false">K113*(1-$B$11)</f>
        <v>785.522353546679</v>
      </c>
      <c r="L114" s="31" t="n">
        <f aca="false">L113*(1-$B$11)</f>
        <v>809.088024153079</v>
      </c>
    </row>
    <row r="115" customFormat="false" ht="15" hidden="false" customHeight="false" outlineLevel="0" collapsed="false">
      <c r="A115" s="12" t="s">
        <v>127</v>
      </c>
      <c r="C115" s="26" t="n">
        <f aca="false">F$45+(F$46-F$45)*MIN(C$109-1,4)/4</f>
        <v>0.75</v>
      </c>
      <c r="D115" s="26" t="n">
        <f aca="false">F$45+(F$46-F$45)*MIN(D$109-1,4)/4</f>
        <v>0.7625</v>
      </c>
      <c r="E115" s="26" t="n">
        <f aca="false">F$45+(F$46-F$45)*MIN(E$109-1,4)/4</f>
        <v>0.775</v>
      </c>
      <c r="F115" s="26" t="n">
        <f aca="false">F$45+(F$46-F$45)*MIN(F$109-1,4)/4</f>
        <v>0.7875</v>
      </c>
      <c r="G115" s="26" t="n">
        <f aca="false">F$45+(F$46-F$45)*MIN(G$109-1,4)/4</f>
        <v>0.8</v>
      </c>
      <c r="H115" s="26" t="n">
        <f aca="false">F$45+(F$46-F$45)*MIN(H$109-1,4)/4</f>
        <v>0.8</v>
      </c>
      <c r="I115" s="26" t="n">
        <f aca="false">F$45+(F$46-F$45)*MIN(I$109-1,4)/4</f>
        <v>0.8</v>
      </c>
      <c r="J115" s="26" t="n">
        <f aca="false">F$45+(F$46-F$45)*MIN(J$109-1,4)/4</f>
        <v>0.8</v>
      </c>
      <c r="K115" s="26" t="n">
        <f aca="false">F$45+(F$46-F$45)*MIN(K$109-1,4)/4</f>
        <v>0.8</v>
      </c>
      <c r="L115" s="26" t="n">
        <f aca="false">F$45+(F$46-F$45)*MIN(L$109-1,4)/4</f>
        <v>0.8</v>
      </c>
    </row>
    <row r="116" customFormat="false" ht="15" hidden="false" customHeight="false" outlineLevel="0" collapsed="false">
      <c r="A116" s="12" t="s">
        <v>128</v>
      </c>
      <c r="C116" s="31" t="n">
        <f aca="false">C114*(1-C115)</f>
        <v>59.2875</v>
      </c>
      <c r="D116" s="31" t="n">
        <f aca="false">D114*(1-D115)</f>
        <v>79.4194727871094</v>
      </c>
      <c r="E116" s="31" t="n">
        <f aca="false">E114*(1-E115)</f>
        <v>96.7775699486572</v>
      </c>
      <c r="F116" s="31" t="n">
        <f aca="false">F114*(1-F115)</f>
        <v>107.862476211118</v>
      </c>
      <c r="G116" s="31" t="n">
        <f aca="false">G114*(1-G115)</f>
        <v>112.587142240363</v>
      </c>
      <c r="H116" s="31" t="n">
        <f aca="false">H114*(1-H115)</f>
        <v>126.262246746019</v>
      </c>
      <c r="I116" s="31" t="n">
        <f aca="false">I114*(1-I115)</f>
        <v>138.711300235987</v>
      </c>
      <c r="J116" s="31" t="n">
        <f aca="false">J114*(1-J115)</f>
        <v>149.216073456418</v>
      </c>
      <c r="K116" s="31" t="n">
        <f aca="false">K114*(1-K115)</f>
        <v>157.104470709336</v>
      </c>
      <c r="L116" s="31" t="n">
        <f aca="false">L114*(1-L115)</f>
        <v>161.817604830616</v>
      </c>
    </row>
    <row r="117" customFormat="false" ht="15" hidden="false" customHeight="false" outlineLevel="0" collapsed="false">
      <c r="A117" s="7" t="s">
        <v>129</v>
      </c>
      <c r="C117" s="39" t="n">
        <f aca="false">C114-C116</f>
        <v>177.8625</v>
      </c>
      <c r="D117" s="39" t="n">
        <f aca="false">D114-D116</f>
        <v>254.978307369141</v>
      </c>
      <c r="E117" s="39" t="n">
        <f aca="false">E114-E116</f>
        <v>333.344963156486</v>
      </c>
      <c r="F117" s="39" t="n">
        <f aca="false">F114-F116</f>
        <v>399.725647135319</v>
      </c>
      <c r="G117" s="39" t="n">
        <f aca="false">G114-G116</f>
        <v>450.348568961452</v>
      </c>
      <c r="H117" s="39" t="n">
        <f aca="false">H114-H116</f>
        <v>505.048986984075</v>
      </c>
      <c r="I117" s="39" t="n">
        <f aca="false">I114-I116</f>
        <v>554.845200943946</v>
      </c>
      <c r="J117" s="39" t="n">
        <f aca="false">J114-J116</f>
        <v>596.864293825673</v>
      </c>
      <c r="K117" s="39" t="n">
        <f aca="false">K114-K116</f>
        <v>628.417882837343</v>
      </c>
      <c r="L117" s="39" t="n">
        <f aca="false">L114-L116</f>
        <v>647.270419322463</v>
      </c>
    </row>
    <row r="118" customFormat="false" ht="15" hidden="false" customHeight="false" outlineLevel="0" collapsed="false">
      <c r="A118" s="12" t="s">
        <v>130</v>
      </c>
      <c r="C118" s="40" t="n">
        <f aca="false">1/(1+$B$27)^C$109</f>
        <v>0.900900900900901</v>
      </c>
      <c r="D118" s="40" t="n">
        <f aca="false">1/(1+$B$27)^D$109</f>
        <v>0.811622433244055</v>
      </c>
      <c r="E118" s="40" t="n">
        <f aca="false">1/(1+$B$27)^E$109</f>
        <v>0.73119138130095</v>
      </c>
      <c r="F118" s="40" t="n">
        <f aca="false">1/(1+$B$27)^F$109</f>
        <v>0.658730974145</v>
      </c>
      <c r="G118" s="40" t="n">
        <f aca="false">1/(1+$B$27)^G$109</f>
        <v>0.593451328058559</v>
      </c>
      <c r="H118" s="40" t="n">
        <f aca="false">1/(1+$B$27)^H$109</f>
        <v>0.534640836088791</v>
      </c>
      <c r="I118" s="40" t="n">
        <f aca="false">1/(1+$B$27)^I$109</f>
        <v>0.481658410890803</v>
      </c>
      <c r="J118" s="40" t="n">
        <f aca="false">1/(1+$B$27)^J$109</f>
        <v>0.433926496298021</v>
      </c>
      <c r="K118" s="40" t="n">
        <f aca="false">1/(1+$B$27)^K$109</f>
        <v>0.390924771439658</v>
      </c>
      <c r="L118" s="40" t="n">
        <f aca="false">1/(1+$B$27)^L$109</f>
        <v>0.352184478774467</v>
      </c>
    </row>
    <row r="119" customFormat="false" ht="15" hidden="false" customHeight="false" outlineLevel="0" collapsed="false">
      <c r="A119" s="12" t="s">
        <v>131</v>
      </c>
      <c r="C119" s="31" t="n">
        <f aca="false">C117*C118</f>
        <v>160.236486486486</v>
      </c>
      <c r="D119" s="31" t="n">
        <f aca="false">D117*D118</f>
        <v>206.946114251392</v>
      </c>
      <c r="E119" s="31" t="n">
        <f aca="false">E117*E118</f>
        <v>243.738964060105</v>
      </c>
      <c r="F119" s="31" t="n">
        <f aca="false">F117*F118</f>
        <v>263.311664928189</v>
      </c>
      <c r="G119" s="31" t="n">
        <f aca="false">G117*G118</f>
        <v>267.259956339445</v>
      </c>
      <c r="H119" s="31" t="n">
        <f aca="false">H117*H118</f>
        <v>270.019812666963</v>
      </c>
      <c r="I119" s="31" t="n">
        <f aca="false">I117*I118</f>
        <v>267.245857777049</v>
      </c>
      <c r="J119" s="31" t="n">
        <f aca="false">J117*J118</f>
        <v>258.995231785167</v>
      </c>
      <c r="K119" s="31" t="n">
        <f aca="false">K117*K118</f>
        <v>245.664117216782</v>
      </c>
      <c r="L119" s="31" t="n">
        <f aca="false">L117*L118</f>
        <v>227.958595255212</v>
      </c>
    </row>
    <row r="123" customFormat="false" ht="15" hidden="false" customHeight="false" outlineLevel="0" collapsed="false">
      <c r="A123" s="8" t="s">
        <v>135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A124" s="12" t="s">
        <v>136</v>
      </c>
      <c r="B124" s="22" t="n">
        <v>0.0075</v>
      </c>
    </row>
    <row r="125" customFormat="false" ht="15" hidden="false" customHeight="false" outlineLevel="0" collapsed="false">
      <c r="A125" s="10" t="s">
        <v>137</v>
      </c>
      <c r="B125" s="41"/>
      <c r="C125" s="42" t="n">
        <v>0.02</v>
      </c>
      <c r="D125" s="42" t="n">
        <v>0.025</v>
      </c>
      <c r="E125" s="42" t="n">
        <v>0.03</v>
      </c>
      <c r="F125" s="42" t="n">
        <v>0.035</v>
      </c>
      <c r="G125" s="42" t="n">
        <v>0.04</v>
      </c>
    </row>
    <row r="126" customFormat="false" ht="15" hidden="false" customHeight="false" outlineLevel="0" collapsed="false">
      <c r="B126" s="43" t="n">
        <f aca="false">$B$27+(-2)*$B$124</f>
        <v>0.095</v>
      </c>
      <c r="C126" s="44" t="n">
        <f aca="false">(SUMPRODUCT($C$89:$L$89/(1+$B126)^$C$81:$L$81)+$L$89*(1+C$125)/($B126-C$125)/(1+$B126)^$L$81+$B$8-$B$9)/$B$7</f>
        <v>161.92645255833</v>
      </c>
      <c r="D126" s="44" t="n">
        <f aca="false">(SUMPRODUCT($C$89:$L$89/(1+$B126)^$C$81:$L$81)+$L$89*(1+D$125)/($B126-D$125)/(1+$B126)^$L$81+$B$8-$B$9)/$B$7</f>
        <v>168.598476754685</v>
      </c>
      <c r="E126" s="44" t="n">
        <f aca="false">(SUMPRODUCT($C$89:$L$89/(1+$B126)^$C$81:$L$81)+$L$89*(1+E$125)/($B126-E$125)/(1+$B126)^$L$81+$B$8-$B$9)/$B$7</f>
        <v>176.296966212018</v>
      </c>
      <c r="F126" s="44" t="n">
        <f aca="false">(SUMPRODUCT($C$89:$L$89/(1+$B126)^$C$81:$L$81)+$L$89*(1+F$125)/($B126-F$125)/(1+$B126)^$L$81+$B$8-$B$9)/$B$7</f>
        <v>185.278537245573</v>
      </c>
      <c r="G126" s="44" t="n">
        <f aca="false">(SUMPRODUCT($C$89:$L$89/(1+$B126)^$C$81:$L$81)+$L$89*(1+G$125)/($B126-G$125)/(1+$B126)^$L$81+$B$8-$B$9)/$B$7</f>
        <v>195.893121194319</v>
      </c>
    </row>
    <row r="127" customFormat="false" ht="15" hidden="false" customHeight="false" outlineLevel="0" collapsed="false">
      <c r="B127" s="43" t="n">
        <f aca="false">$B$27+(-1)*$B$124</f>
        <v>0.1025</v>
      </c>
      <c r="C127" s="44" t="n">
        <f aca="false">(SUMPRODUCT($C$89:$L$89/(1+$B127)^$C$81:$L$81)+$L$89*(1+C$125)/($B127-C$125)/(1+$B127)^$L$81+$B$8-$B$9)/$B$7</f>
        <v>146.13527450046</v>
      </c>
      <c r="D127" s="44" t="n">
        <f aca="false">(SUMPRODUCT($C$89:$L$89/(1+$B127)^$C$81:$L$81)+$L$89*(1+D$125)/($B127-D$125)/(1+$B127)^$L$81+$B$8-$B$9)/$B$7</f>
        <v>151.287335001019</v>
      </c>
      <c r="E127" s="44" t="n">
        <f aca="false">(SUMPRODUCT($C$89:$L$89/(1+$B127)^$C$81:$L$81)+$L$89*(1+E$125)/($B127-E$125)/(1+$B127)^$L$81+$B$8-$B$9)/$B$7</f>
        <v>157.150024536137</v>
      </c>
      <c r="F127" s="44" t="n">
        <f aca="false">(SUMPRODUCT($C$89:$L$89/(1+$B127)^$C$81:$L$81)+$L$89*(1+F$125)/($B127-F$125)/(1+$B127)^$L$81+$B$8-$B$9)/$B$7</f>
        <v>163.881260669052</v>
      </c>
      <c r="G127" s="44" t="n">
        <f aca="false">(SUMPRODUCT($C$89:$L$89/(1+$B127)^$C$81:$L$81)+$L$89*(1+G$125)/($B127-G$125)/(1+$B127)^$L$81+$B$8-$B$9)/$B$7</f>
        <v>171.689494583232</v>
      </c>
    </row>
    <row r="128" customFormat="false" ht="15" hidden="false" customHeight="false" outlineLevel="0" collapsed="false">
      <c r="B128" s="43" t="n">
        <f aca="false">$B$27+(0)*$B$124</f>
        <v>0.11</v>
      </c>
      <c r="C128" s="44" t="n">
        <f aca="false">(SUMPRODUCT($C$89:$L$89/(1+$B128)^$C$81:$L$81)+$L$89*(1+C$125)/($B128-C$125)/(1+$B128)^$L$81+$B$8-$B$9)/$B$7</f>
        <v>133.01481276715</v>
      </c>
      <c r="D128" s="44" t="n">
        <f aca="false">(SUMPRODUCT($C$89:$L$89/(1+$B128)^$C$81:$L$81)+$L$89*(1+D$125)/($B128-D$125)/(1+$B128)^$L$81+$B$8-$B$9)/$B$7</f>
        <v>137.065938705155</v>
      </c>
      <c r="E128" s="44" t="n">
        <f aca="false">(SUMPRODUCT($C$89:$L$89/(1+$B128)^$C$81:$L$81)+$L$89*(1+E$125)/($B128-E$125)/(1+$B128)^$L$81+$B$8-$B$9)/$B$7</f>
        <v>141.623455385411</v>
      </c>
      <c r="F128" s="44" t="n">
        <f aca="false">(SUMPRODUCT($C$89:$L$89/(1+$B128)^$C$81:$L$81)+$L$89*(1+F$125)/($B128-F$125)/(1+$B128)^$L$81+$B$8-$B$9)/$B$7</f>
        <v>146.788640956367</v>
      </c>
      <c r="G128" s="44" t="n">
        <f aca="false">(SUMPRODUCT($C$89:$L$89/(1+$B128)^$C$81:$L$81)+$L$89*(1+G$125)/($B128-G$125)/(1+$B128)^$L$81+$B$8-$B$9)/$B$7</f>
        <v>152.691710180317</v>
      </c>
    </row>
    <row r="129" customFormat="false" ht="15" hidden="false" customHeight="false" outlineLevel="0" collapsed="false">
      <c r="B129" s="43" t="n">
        <f aca="false">$B$27+(1)*$B$124</f>
        <v>0.1175</v>
      </c>
      <c r="C129" s="44" t="n">
        <f aca="false">(SUMPRODUCT($C$89:$L$89/(1+$B129)^$C$81:$L$81)+$L$89*(1+C$125)/($B129-C$125)/(1+$B129)^$L$81+$B$8-$B$9)/$B$7</f>
        <v>121.946982394002</v>
      </c>
      <c r="D129" s="44" t="n">
        <f aca="false">(SUMPRODUCT($C$89:$L$89/(1+$B129)^$C$81:$L$81)+$L$89*(1+D$125)/($B129-D$125)/(1+$B129)^$L$81+$B$8-$B$9)/$B$7</f>
        <v>125.181204594822</v>
      </c>
      <c r="E129" s="44" t="n">
        <f aca="false">(SUMPRODUCT($C$89:$L$89/(1+$B129)^$C$81:$L$81)+$L$89*(1+E$125)/($B129-E$125)/(1+$B129)^$L$81+$B$8-$B$9)/$B$7</f>
        <v>128.785052190022</v>
      </c>
      <c r="F129" s="44" t="n">
        <f aca="false">(SUMPRODUCT($C$89:$L$89/(1+$B129)^$C$81:$L$81)+$L$89*(1+F$125)/($B129-F$125)/(1+$B129)^$L$81+$B$8-$B$9)/$B$7</f>
        <v>132.825729796761</v>
      </c>
      <c r="G129" s="44" t="n">
        <f aca="false">(SUMPRODUCT($C$89:$L$89/(1+$B129)^$C$81:$L$81)+$L$89*(1+G$125)/($B129-G$125)/(1+$B129)^$L$81+$B$8-$B$9)/$B$7</f>
        <v>137.387785159208</v>
      </c>
    </row>
    <row r="130" customFormat="false" ht="15" hidden="false" customHeight="false" outlineLevel="0" collapsed="false">
      <c r="B130" s="43" t="n">
        <f aca="false">$B$27+(2)*$B$124</f>
        <v>0.125</v>
      </c>
      <c r="C130" s="44" t="n">
        <f aca="false">(SUMPRODUCT($C$89:$L$89/(1+$B130)^$C$81:$L$81)+$L$89*(1+C$125)/($B130-C$125)/(1+$B130)^$L$81+$B$8-$B$9)/$B$7</f>
        <v>112.490391775429</v>
      </c>
      <c r="D130" s="44" t="n">
        <f aca="false">(SUMPRODUCT($C$89:$L$89/(1+$B130)^$C$81:$L$81)+$L$89*(1+D$125)/($B130-D$125)/(1+$B130)^$L$81+$B$8-$B$9)/$B$7</f>
        <v>115.106055970484</v>
      </c>
      <c r="E130" s="44" t="n">
        <f aca="false">(SUMPRODUCT($C$89:$L$89/(1+$B130)^$C$81:$L$81)+$L$89*(1+E$125)/($B130-E$125)/(1+$B130)^$L$81+$B$8-$B$9)/$B$7</f>
        <v>117.997053238703</v>
      </c>
      <c r="F130" s="44" t="n">
        <f aca="false">(SUMPRODUCT($C$89:$L$89/(1+$B130)^$C$81:$L$81)+$L$89*(1+F$125)/($B130-F$125)/(1+$B130)^$L$81+$B$8-$B$9)/$B$7</f>
        <v>121.209272425612</v>
      </c>
      <c r="G130" s="44" t="n">
        <f aca="false">(SUMPRODUCT($C$89:$L$89/(1+$B130)^$C$81:$L$81)+$L$89*(1+G$125)/($B130-G$125)/(1+$B130)^$L$81+$B$8-$B$9)/$B$7</f>
        <v>124.799399752158</v>
      </c>
    </row>
    <row r="132" customFormat="false" ht="15" hidden="false" customHeight="false" outlineLevel="0" collapsed="false">
      <c r="A132" s="6" t="s">
        <v>138</v>
      </c>
    </row>
  </sheetData>
  <mergeCells count="4">
    <mergeCell ref="B33:L33"/>
    <mergeCell ref="B34:L34"/>
    <mergeCell ref="B35:L35"/>
    <mergeCell ref="B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.5"/>
  </cols>
  <sheetData>
    <row r="1" customFormat="false" ht="17.35" hidden="false" customHeight="false" outlineLevel="0" collapsed="false">
      <c r="A1" s="5" t="s">
        <v>139</v>
      </c>
    </row>
    <row r="2" customFormat="false" ht="15" hidden="false" customHeight="false" outlineLevel="0" collapsed="false">
      <c r="A2" s="6" t="s">
        <v>140</v>
      </c>
    </row>
    <row r="4" customFormat="false" ht="15" hidden="false" customHeight="false" outlineLevel="0" collapsed="false">
      <c r="A4" s="8" t="s">
        <v>141</v>
      </c>
      <c r="B4" s="45" t="s">
        <v>142</v>
      </c>
      <c r="C4" s="45" t="s">
        <v>143</v>
      </c>
      <c r="D4" s="45" t="s">
        <v>144</v>
      </c>
      <c r="E4" s="45" t="s">
        <v>145</v>
      </c>
      <c r="F4" s="45" t="s">
        <v>146</v>
      </c>
      <c r="G4" s="45" t="s">
        <v>147</v>
      </c>
      <c r="H4" s="45" t="s">
        <v>148</v>
      </c>
      <c r="I4" s="45" t="s">
        <v>149</v>
      </c>
      <c r="J4" s="45" t="s">
        <v>150</v>
      </c>
      <c r="K4" s="45" t="s">
        <v>151</v>
      </c>
      <c r="L4" s="45" t="s">
        <v>152</v>
      </c>
      <c r="M4" s="45" t="s">
        <v>153</v>
      </c>
      <c r="N4" s="45" t="s">
        <v>154</v>
      </c>
      <c r="O4" s="45" t="s">
        <v>155</v>
      </c>
      <c r="P4" s="45" t="s">
        <v>156</v>
      </c>
      <c r="Q4" s="45" t="s">
        <v>157</v>
      </c>
    </row>
    <row r="5" customFormat="false" ht="15" hidden="false" customHeight="false" outlineLevel="0" collapsed="false">
      <c r="A5" s="6" t="s">
        <v>158</v>
      </c>
      <c r="B5" s="46" t="s">
        <v>159</v>
      </c>
      <c r="C5" s="46" t="s">
        <v>160</v>
      </c>
      <c r="D5" s="46" t="s">
        <v>161</v>
      </c>
      <c r="E5" s="46" t="s">
        <v>162</v>
      </c>
      <c r="F5" s="46" t="s">
        <v>163</v>
      </c>
      <c r="G5" s="46" t="s">
        <v>164</v>
      </c>
      <c r="H5" s="46" t="s">
        <v>165</v>
      </c>
      <c r="I5" s="46" t="s">
        <v>166</v>
      </c>
      <c r="J5" s="46" t="s">
        <v>167</v>
      </c>
      <c r="K5" s="46" t="s">
        <v>168</v>
      </c>
      <c r="M5" s="46" t="s">
        <v>169</v>
      </c>
      <c r="N5" s="46" t="s">
        <v>170</v>
      </c>
      <c r="O5" s="46" t="s">
        <v>171</v>
      </c>
      <c r="P5" s="46" t="s">
        <v>172</v>
      </c>
      <c r="Q5" s="46" t="s">
        <v>173</v>
      </c>
    </row>
    <row r="6" customFormat="false" ht="15" hidden="false" customHeight="false" outlineLevel="0" collapsed="false">
      <c r="A6" s="6" t="s">
        <v>174</v>
      </c>
      <c r="B6" s="46" t="s">
        <v>175</v>
      </c>
      <c r="C6" s="46" t="s">
        <v>175</v>
      </c>
      <c r="D6" s="46" t="s">
        <v>175</v>
      </c>
      <c r="E6" s="46" t="s">
        <v>175</v>
      </c>
      <c r="F6" s="46" t="s">
        <v>175</v>
      </c>
      <c r="G6" s="46" t="s">
        <v>175</v>
      </c>
      <c r="H6" s="46" t="s">
        <v>175</v>
      </c>
      <c r="I6" s="46" t="s">
        <v>175</v>
      </c>
      <c r="J6" s="46" t="s">
        <v>175</v>
      </c>
      <c r="K6" s="46" t="s">
        <v>175</v>
      </c>
      <c r="L6" s="46" t="s">
        <v>176</v>
      </c>
      <c r="M6" s="46" t="s">
        <v>177</v>
      </c>
      <c r="N6" s="46" t="s">
        <v>177</v>
      </c>
      <c r="O6" s="46" t="s">
        <v>177</v>
      </c>
      <c r="P6" s="46" t="s">
        <v>177</v>
      </c>
      <c r="Q6" s="46" t="s">
        <v>177</v>
      </c>
    </row>
    <row r="7" customFormat="false" ht="15" hidden="false" customHeight="false" outlineLevel="0" collapsed="false">
      <c r="A7" s="6" t="s">
        <v>178</v>
      </c>
      <c r="M7" s="47" t="n">
        <v>1</v>
      </c>
      <c r="N7" s="47" t="n">
        <v>2</v>
      </c>
      <c r="O7" s="47" t="n">
        <v>3</v>
      </c>
      <c r="P7" s="47" t="n">
        <v>4</v>
      </c>
      <c r="Q7" s="47" t="n">
        <v>5</v>
      </c>
    </row>
    <row r="8" customFormat="false" ht="15" hidden="false" customHeight="false" outlineLevel="0" collapsed="false">
      <c r="A8" s="7" t="s">
        <v>179</v>
      </c>
      <c r="B8" s="48" t="n">
        <v>6910</v>
      </c>
      <c r="C8" s="48" t="n">
        <v>9714</v>
      </c>
      <c r="D8" s="48" t="n">
        <v>11716</v>
      </c>
      <c r="E8" s="48" t="n">
        <v>10918</v>
      </c>
      <c r="F8" s="48" t="n">
        <v>16675</v>
      </c>
      <c r="G8" s="48" t="n">
        <v>26914</v>
      </c>
      <c r="H8" s="48" t="n">
        <v>26974</v>
      </c>
      <c r="I8" s="48" t="n">
        <v>60922</v>
      </c>
      <c r="J8" s="48" t="n">
        <v>130497</v>
      </c>
      <c r="K8" s="48" t="n">
        <v>215938</v>
      </c>
      <c r="L8" s="48" t="n">
        <v>302970</v>
      </c>
      <c r="M8" s="49" t="n">
        <f aca="false">NVDA!C82*1000</f>
        <v>450000</v>
      </c>
      <c r="N8" s="49" t="n">
        <f aca="false">NVDA!D82*1000</f>
        <v>562500</v>
      </c>
      <c r="O8" s="49" t="n">
        <f aca="false">NVDA!E82*1000</f>
        <v>663750</v>
      </c>
      <c r="P8" s="49" t="n">
        <f aca="false">NVDA!F82*1000</f>
        <v>743400</v>
      </c>
      <c r="Q8" s="49" t="n">
        <f aca="false">NVDA!G82*1000</f>
        <v>802872</v>
      </c>
    </row>
    <row r="9" customFormat="false" ht="15" hidden="false" customHeight="false" outlineLevel="0" collapsed="false">
      <c r="A9" s="12" t="s">
        <v>180</v>
      </c>
      <c r="C9" s="26" t="n">
        <f aca="false">C8/B8-1</f>
        <v>0.405788712011578</v>
      </c>
      <c r="D9" s="26" t="n">
        <f aca="false">D8/C8-1</f>
        <v>0.206094296891085</v>
      </c>
      <c r="E9" s="26" t="n">
        <f aca="false">E8/D8-1</f>
        <v>-0.0681119836121543</v>
      </c>
      <c r="F9" s="26" t="n">
        <f aca="false">F8/E8-1</f>
        <v>0.527294376259388</v>
      </c>
      <c r="G9" s="26" t="n">
        <f aca="false">G8/F8-1</f>
        <v>0.614032983508246</v>
      </c>
      <c r="H9" s="26" t="n">
        <f aca="false">H8/G8-1</f>
        <v>0.00222932302890699</v>
      </c>
      <c r="I9" s="26" t="n">
        <f aca="false">I8/H8-1</f>
        <v>1.25854526581152</v>
      </c>
      <c r="J9" s="26" t="n">
        <f aca="false">J8/I8-1</f>
        <v>1.14203407635994</v>
      </c>
      <c r="K9" s="26" t="n">
        <f aca="false">K8/J8-1</f>
        <v>0.654735357900948</v>
      </c>
      <c r="M9" s="26" t="n">
        <f aca="false">M8/L8-1</f>
        <v>0.48529557381919</v>
      </c>
      <c r="N9" s="26" t="n">
        <f aca="false">N8/M8-1</f>
        <v>0.25</v>
      </c>
      <c r="O9" s="26" t="n">
        <f aca="false">O8/N8-1</f>
        <v>0.18</v>
      </c>
      <c r="P9" s="26" t="n">
        <f aca="false">P8/O8-1</f>
        <v>0.12</v>
      </c>
      <c r="Q9" s="26" t="n">
        <f aca="false">Q8/P8-1</f>
        <v>0.0800000000000001</v>
      </c>
    </row>
    <row r="10" customFormat="false" ht="15" hidden="false" customHeight="false" outlineLevel="0" collapsed="false">
      <c r="A10" s="12" t="s">
        <v>181</v>
      </c>
      <c r="B10" s="48" t="n">
        <v>2847</v>
      </c>
      <c r="C10" s="48" t="n">
        <v>3892</v>
      </c>
      <c r="D10" s="48" t="n">
        <v>4545</v>
      </c>
      <c r="E10" s="48" t="n">
        <v>4150</v>
      </c>
      <c r="F10" s="48" t="n">
        <v>6279</v>
      </c>
      <c r="G10" s="48" t="n">
        <v>9439</v>
      </c>
      <c r="H10" s="48" t="n">
        <v>11618</v>
      </c>
      <c r="I10" s="48" t="n">
        <v>16621</v>
      </c>
      <c r="J10" s="48" t="n">
        <v>32639</v>
      </c>
      <c r="K10" s="48" t="n">
        <v>62475</v>
      </c>
      <c r="M10" s="50" t="n">
        <f aca="false">M8-M11</f>
        <v>121500</v>
      </c>
      <c r="N10" s="50" t="n">
        <f aca="false">N8-N11</f>
        <v>157500</v>
      </c>
      <c r="O10" s="50" t="n">
        <f aca="false">O8-O11</f>
        <v>192487.5</v>
      </c>
      <c r="P10" s="50" t="n">
        <f aca="false">P8-P11</f>
        <v>223020</v>
      </c>
      <c r="Q10" s="50" t="n">
        <f aca="false">Q8-Q11</f>
        <v>248890.32</v>
      </c>
    </row>
    <row r="11" customFormat="false" ht="15" hidden="false" customHeight="false" outlineLevel="0" collapsed="false">
      <c r="A11" s="7" t="s">
        <v>182</v>
      </c>
      <c r="B11" s="51" t="n">
        <f aca="false">B8-B10</f>
        <v>4063</v>
      </c>
      <c r="C11" s="51" t="n">
        <f aca="false">C8-C10</f>
        <v>5822</v>
      </c>
      <c r="D11" s="51" t="n">
        <f aca="false">D8-D10</f>
        <v>7171</v>
      </c>
      <c r="E11" s="51" t="n">
        <f aca="false">E8-E10</f>
        <v>6768</v>
      </c>
      <c r="F11" s="51" t="n">
        <f aca="false">F8-F10</f>
        <v>10396</v>
      </c>
      <c r="G11" s="51" t="n">
        <f aca="false">G8-G10</f>
        <v>17475</v>
      </c>
      <c r="H11" s="51" t="n">
        <f aca="false">H8-H10</f>
        <v>15356</v>
      </c>
      <c r="I11" s="51" t="n">
        <f aca="false">I8-I10</f>
        <v>44301</v>
      </c>
      <c r="J11" s="51" t="n">
        <f aca="false">J8-J10</f>
        <v>97858</v>
      </c>
      <c r="K11" s="51" t="n">
        <f aca="false">K8-K10</f>
        <v>153463</v>
      </c>
      <c r="L11" s="48" t="n">
        <v>226241</v>
      </c>
      <c r="M11" s="51" t="n">
        <f aca="false">M8*M12</f>
        <v>328500</v>
      </c>
      <c r="N11" s="51" t="n">
        <f aca="false">N8*N12</f>
        <v>405000</v>
      </c>
      <c r="O11" s="51" t="n">
        <f aca="false">O8*O12</f>
        <v>471262.5</v>
      </c>
      <c r="P11" s="51" t="n">
        <f aca="false">P8*P12</f>
        <v>520380</v>
      </c>
      <c r="Q11" s="51" t="n">
        <f aca="false">Q8*Q12</f>
        <v>553981.68</v>
      </c>
    </row>
    <row r="12" customFormat="false" ht="15" hidden="false" customHeight="false" outlineLevel="0" collapsed="false">
      <c r="A12" s="12" t="s">
        <v>183</v>
      </c>
      <c r="B12" s="26" t="n">
        <f aca="false">B11/B8</f>
        <v>0.587988422575977</v>
      </c>
      <c r="C12" s="26" t="n">
        <f aca="false">C11/C8</f>
        <v>0.599341157092856</v>
      </c>
      <c r="D12" s="26" t="n">
        <f aca="false">D11/D8</f>
        <v>0.612068965517241</v>
      </c>
      <c r="E12" s="26" t="n">
        <f aca="false">E11/E8</f>
        <v>0.619893753434695</v>
      </c>
      <c r="F12" s="26" t="n">
        <f aca="false">F11/F8</f>
        <v>0.623448275862069</v>
      </c>
      <c r="G12" s="26" t="n">
        <f aca="false">G11/G8</f>
        <v>0.649290332169131</v>
      </c>
      <c r="H12" s="26" t="n">
        <f aca="false">H11/H8</f>
        <v>0.569288944909913</v>
      </c>
      <c r="I12" s="26" t="n">
        <f aca="false">I11/I8</f>
        <v>0.72717573290437</v>
      </c>
      <c r="J12" s="26" t="n">
        <f aca="false">J11/J8</f>
        <v>0.749886970581699</v>
      </c>
      <c r="K12" s="26" t="n">
        <f aca="false">K11/K8</f>
        <v>0.710680843575471</v>
      </c>
      <c r="L12" s="26" t="n">
        <f aca="false">L11/L8</f>
        <v>0.746743902036505</v>
      </c>
      <c r="M12" s="26" t="n">
        <f aca="false">$B$40+($B$41-$B$40)*(M$7-1)/4</f>
        <v>0.73</v>
      </c>
      <c r="N12" s="26" t="n">
        <f aca="false">$B$40+($B$41-$B$40)*(N$7-1)/4</f>
        <v>0.72</v>
      </c>
      <c r="O12" s="26" t="n">
        <f aca="false">$B$40+($B$41-$B$40)*(O$7-1)/4</f>
        <v>0.71</v>
      </c>
      <c r="P12" s="26" t="n">
        <f aca="false">$B$40+($B$41-$B$40)*(P$7-1)/4</f>
        <v>0.7</v>
      </c>
      <c r="Q12" s="26" t="n">
        <f aca="false">$B$40+($B$41-$B$40)*(Q$7-1)/4</f>
        <v>0.69</v>
      </c>
    </row>
    <row r="13" customFormat="false" ht="15" hidden="false" customHeight="false" outlineLevel="0" collapsed="false">
      <c r="A13" s="12" t="s">
        <v>184</v>
      </c>
      <c r="B13" s="48" t="n">
        <v>1466</v>
      </c>
      <c r="C13" s="48" t="n">
        <v>1797</v>
      </c>
      <c r="D13" s="48" t="n">
        <v>2376</v>
      </c>
      <c r="E13" s="48" t="n">
        <v>2829</v>
      </c>
      <c r="F13" s="48" t="n">
        <v>3924</v>
      </c>
      <c r="G13" s="48" t="n">
        <v>5268</v>
      </c>
      <c r="H13" s="48" t="n">
        <v>7339</v>
      </c>
      <c r="I13" s="48" t="n">
        <v>8675</v>
      </c>
      <c r="J13" s="48" t="n">
        <v>12914</v>
      </c>
      <c r="K13" s="48" t="n">
        <v>18497</v>
      </c>
      <c r="M13" s="50" t="n">
        <f aca="false">M16*$B$42</f>
        <v>39600</v>
      </c>
      <c r="N13" s="50" t="n">
        <f aca="false">N16*$B$42</f>
        <v>52875</v>
      </c>
      <c r="O13" s="50" t="n">
        <f aca="false">O16*$B$42</f>
        <v>66375</v>
      </c>
      <c r="P13" s="50" t="n">
        <f aca="false">P16*$B$42</f>
        <v>78800.4</v>
      </c>
      <c r="Q13" s="50" t="n">
        <f aca="false">Q16*$B$42</f>
        <v>89921.664</v>
      </c>
    </row>
    <row r="14" customFormat="false" ht="15" hidden="false" customHeight="false" outlineLevel="0" collapsed="false">
      <c r="A14" s="12" t="s">
        <v>185</v>
      </c>
      <c r="B14" s="48" t="n">
        <v>663</v>
      </c>
      <c r="C14" s="48" t="n">
        <v>815</v>
      </c>
      <c r="D14" s="48" t="n">
        <v>991</v>
      </c>
      <c r="E14" s="48" t="n">
        <v>1093</v>
      </c>
      <c r="F14" s="48" t="n">
        <v>1940</v>
      </c>
      <c r="G14" s="48" t="n">
        <v>2166</v>
      </c>
      <c r="H14" s="48" t="n">
        <v>2440</v>
      </c>
      <c r="I14" s="48" t="n">
        <v>2654</v>
      </c>
      <c r="J14" s="48" t="n">
        <v>3491</v>
      </c>
      <c r="K14" s="48" t="n">
        <v>4579</v>
      </c>
      <c r="M14" s="50" t="n">
        <f aca="false">M16-M13</f>
        <v>9900</v>
      </c>
      <c r="N14" s="50" t="n">
        <f aca="false">N16-N13</f>
        <v>13218.75</v>
      </c>
      <c r="O14" s="50" t="n">
        <f aca="false">O16-O13</f>
        <v>16593.75</v>
      </c>
      <c r="P14" s="50" t="n">
        <f aca="false">P16-P13</f>
        <v>19700.1</v>
      </c>
      <c r="Q14" s="50" t="n">
        <f aca="false">Q16-Q13</f>
        <v>22480.416</v>
      </c>
    </row>
    <row r="15" customFormat="false" ht="15" hidden="false" customHeight="false" outlineLevel="0" collapsed="false">
      <c r="A15" s="12" t="s">
        <v>186</v>
      </c>
      <c r="B15" s="48" t="n">
        <v>0</v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1353</v>
      </c>
      <c r="I15" s="48" t="n">
        <v>0</v>
      </c>
      <c r="J15" s="48" t="n">
        <v>0</v>
      </c>
      <c r="K15" s="48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</row>
    <row r="16" customFormat="false" ht="15" hidden="false" customHeight="false" outlineLevel="0" collapsed="false">
      <c r="A16" s="12" t="s">
        <v>187</v>
      </c>
      <c r="B16" s="50" t="n">
        <f aca="false">SUM(B13:B15)</f>
        <v>2129</v>
      </c>
      <c r="C16" s="50" t="n">
        <f aca="false">SUM(C13:C15)</f>
        <v>2612</v>
      </c>
      <c r="D16" s="50" t="n">
        <f aca="false">SUM(D13:D15)</f>
        <v>3367</v>
      </c>
      <c r="E16" s="50" t="n">
        <f aca="false">SUM(E13:E15)</f>
        <v>3922</v>
      </c>
      <c r="F16" s="50" t="n">
        <f aca="false">SUM(F13:F15)</f>
        <v>5864</v>
      </c>
      <c r="G16" s="50" t="n">
        <f aca="false">SUM(G13:G15)</f>
        <v>7434</v>
      </c>
      <c r="H16" s="50" t="n">
        <f aca="false">SUM(H13:H15)</f>
        <v>11132</v>
      </c>
      <c r="I16" s="50" t="n">
        <f aca="false">SUM(I13:I15)</f>
        <v>11329</v>
      </c>
      <c r="J16" s="50" t="n">
        <f aca="false">SUM(J13:J15)</f>
        <v>16405</v>
      </c>
      <c r="K16" s="50" t="n">
        <f aca="false">SUM(K13:K15)</f>
        <v>23076</v>
      </c>
      <c r="M16" s="50" t="n">
        <f aca="false">M11-M17</f>
        <v>49500</v>
      </c>
      <c r="N16" s="50" t="n">
        <f aca="false">N11-N17</f>
        <v>66093.75</v>
      </c>
      <c r="O16" s="50" t="n">
        <f aca="false">O11-O17</f>
        <v>82968.75</v>
      </c>
      <c r="P16" s="50" t="n">
        <f aca="false">P11-P17</f>
        <v>98500.5</v>
      </c>
      <c r="Q16" s="50" t="n">
        <f aca="false">Q11-Q17</f>
        <v>112402.08</v>
      </c>
    </row>
    <row r="17" customFormat="false" ht="15" hidden="false" customHeight="false" outlineLevel="0" collapsed="false">
      <c r="A17" s="7" t="s">
        <v>188</v>
      </c>
      <c r="B17" s="51" t="n">
        <f aca="false">B11-B16</f>
        <v>1934</v>
      </c>
      <c r="C17" s="51" t="n">
        <f aca="false">C11-C16</f>
        <v>3210</v>
      </c>
      <c r="D17" s="51" t="n">
        <f aca="false">D11-D16</f>
        <v>3804</v>
      </c>
      <c r="E17" s="51" t="n">
        <f aca="false">E11-E16</f>
        <v>2846</v>
      </c>
      <c r="F17" s="51" t="n">
        <f aca="false">F11-F16</f>
        <v>4532</v>
      </c>
      <c r="G17" s="51" t="n">
        <f aca="false">G11-G16</f>
        <v>10041</v>
      </c>
      <c r="H17" s="51" t="n">
        <f aca="false">H11-H16</f>
        <v>4224</v>
      </c>
      <c r="I17" s="51" t="n">
        <f aca="false">I11-I16</f>
        <v>32972</v>
      </c>
      <c r="J17" s="51" t="n">
        <f aca="false">J11-J16</f>
        <v>81453</v>
      </c>
      <c r="K17" s="51" t="n">
        <f aca="false">K11-K16</f>
        <v>130387</v>
      </c>
      <c r="L17" s="48" t="n">
        <v>197579</v>
      </c>
      <c r="M17" s="51" t="n">
        <f aca="false">M8*M18</f>
        <v>279000</v>
      </c>
      <c r="N17" s="51" t="n">
        <f aca="false">N8*N18</f>
        <v>338906.25</v>
      </c>
      <c r="O17" s="51" t="n">
        <f aca="false">O8*O18</f>
        <v>388293.75</v>
      </c>
      <c r="P17" s="51" t="n">
        <f aca="false">P8*P18</f>
        <v>421879.5</v>
      </c>
      <c r="Q17" s="51" t="n">
        <f aca="false">Q8*Q18</f>
        <v>441579.6</v>
      </c>
    </row>
    <row r="18" customFormat="false" ht="15" hidden="false" customHeight="false" outlineLevel="0" collapsed="false">
      <c r="A18" s="12" t="s">
        <v>189</v>
      </c>
      <c r="B18" s="26" t="n">
        <f aca="false">B17/B8</f>
        <v>0.279884225759768</v>
      </c>
      <c r="C18" s="26" t="n">
        <f aca="false">C17/C8</f>
        <v>0.330450895614577</v>
      </c>
      <c r="D18" s="26" t="n">
        <f aca="false">D17/D8</f>
        <v>0.324684192557187</v>
      </c>
      <c r="E18" s="26" t="n">
        <f aca="false">E17/E8</f>
        <v>0.260670452463821</v>
      </c>
      <c r="F18" s="26" t="n">
        <f aca="false">F17/F8</f>
        <v>0.271784107946027</v>
      </c>
      <c r="G18" s="26" t="n">
        <f aca="false">G17/G8</f>
        <v>0.373077208887568</v>
      </c>
      <c r="H18" s="26" t="n">
        <f aca="false">H17/H8</f>
        <v>0.156595239860607</v>
      </c>
      <c r="I18" s="26" t="n">
        <f aca="false">I17/I8</f>
        <v>0.541216637667838</v>
      </c>
      <c r="J18" s="26" t="n">
        <f aca="false">J17/J8</f>
        <v>0.624175268396975</v>
      </c>
      <c r="K18" s="26" t="n">
        <f aca="false">K17/K8</f>
        <v>0.603816836314127</v>
      </c>
      <c r="L18" s="26" t="n">
        <f aca="false">L17/L8</f>
        <v>0.652140475954715</v>
      </c>
      <c r="M18" s="15" t="n">
        <f aca="false">NVDA!C84</f>
        <v>0.62</v>
      </c>
      <c r="N18" s="15" t="n">
        <f aca="false">NVDA!D84</f>
        <v>0.6025</v>
      </c>
      <c r="O18" s="15" t="n">
        <f aca="false">NVDA!E84</f>
        <v>0.585</v>
      </c>
      <c r="P18" s="15" t="n">
        <f aca="false">NVDA!F84</f>
        <v>0.5675</v>
      </c>
      <c r="Q18" s="15" t="n">
        <f aca="false">NVDA!G84</f>
        <v>0.55</v>
      </c>
    </row>
    <row r="19" customFormat="false" ht="15" hidden="false" customHeight="false" outlineLevel="0" collapsed="false">
      <c r="A19" s="12" t="s">
        <v>190</v>
      </c>
      <c r="B19" s="48" t="n">
        <v>-29</v>
      </c>
      <c r="C19" s="48" t="n">
        <v>-14</v>
      </c>
      <c r="D19" s="48" t="n">
        <v>92</v>
      </c>
      <c r="E19" s="48" t="n">
        <v>124</v>
      </c>
      <c r="F19" s="48" t="n">
        <v>-123</v>
      </c>
      <c r="G19" s="48" t="n">
        <v>-100</v>
      </c>
      <c r="H19" s="48" t="n">
        <v>-43</v>
      </c>
      <c r="I19" s="48" t="n">
        <v>846</v>
      </c>
      <c r="J19" s="48" t="n">
        <v>2573</v>
      </c>
      <c r="K19" s="48" t="n">
        <v>11063</v>
      </c>
      <c r="M19" s="50" t="n">
        <f aca="false">M8*$B$43</f>
        <v>4500</v>
      </c>
      <c r="N19" s="50" t="n">
        <f aca="false">N8*$B$43</f>
        <v>5625</v>
      </c>
      <c r="O19" s="50" t="n">
        <f aca="false">O8*$B$43</f>
        <v>6637.5</v>
      </c>
      <c r="P19" s="50" t="n">
        <f aca="false">P8*$B$43</f>
        <v>7434</v>
      </c>
      <c r="Q19" s="50" t="n">
        <f aca="false">Q8*$B$43</f>
        <v>8028.72</v>
      </c>
    </row>
    <row r="20" customFormat="false" ht="15" hidden="false" customHeight="false" outlineLevel="0" collapsed="false">
      <c r="A20" s="12" t="s">
        <v>191</v>
      </c>
      <c r="B20" s="50" t="n">
        <f aca="false">B17+B19</f>
        <v>1905</v>
      </c>
      <c r="C20" s="50" t="n">
        <f aca="false">C17+C19</f>
        <v>3196</v>
      </c>
      <c r="D20" s="50" t="n">
        <f aca="false">D17+D19</f>
        <v>3896</v>
      </c>
      <c r="E20" s="50" t="n">
        <f aca="false">E17+E19</f>
        <v>2970</v>
      </c>
      <c r="F20" s="50" t="n">
        <f aca="false">F17+F19</f>
        <v>4409</v>
      </c>
      <c r="G20" s="50" t="n">
        <f aca="false">G17+G19</f>
        <v>9941</v>
      </c>
      <c r="H20" s="50" t="n">
        <f aca="false">H17+H19</f>
        <v>4181</v>
      </c>
      <c r="I20" s="50" t="n">
        <f aca="false">I17+I19</f>
        <v>33818</v>
      </c>
      <c r="J20" s="50" t="n">
        <f aca="false">J17+J19</f>
        <v>84026</v>
      </c>
      <c r="K20" s="50" t="n">
        <f aca="false">K17+K19</f>
        <v>141450</v>
      </c>
      <c r="M20" s="50" t="n">
        <f aca="false">M17+M19</f>
        <v>283500</v>
      </c>
      <c r="N20" s="50" t="n">
        <f aca="false">N17+N19</f>
        <v>344531.25</v>
      </c>
      <c r="O20" s="50" t="n">
        <f aca="false">O17+O19</f>
        <v>394931.25</v>
      </c>
      <c r="P20" s="50" t="n">
        <f aca="false">P17+P19</f>
        <v>429313.5</v>
      </c>
      <c r="Q20" s="50" t="n">
        <f aca="false">Q17+Q19</f>
        <v>449608.32</v>
      </c>
    </row>
    <row r="21" customFormat="false" ht="15" hidden="false" customHeight="false" outlineLevel="0" collapsed="false">
      <c r="A21" s="12" t="s">
        <v>192</v>
      </c>
      <c r="B21" s="48" t="n">
        <v>239</v>
      </c>
      <c r="C21" s="48" t="n">
        <v>149</v>
      </c>
      <c r="D21" s="48" t="n">
        <v>-245</v>
      </c>
      <c r="E21" s="48" t="n">
        <v>174</v>
      </c>
      <c r="F21" s="48" t="n">
        <v>77</v>
      </c>
      <c r="G21" s="48" t="n">
        <v>189</v>
      </c>
      <c r="H21" s="48" t="n">
        <v>-187</v>
      </c>
      <c r="I21" s="48" t="n">
        <v>4058</v>
      </c>
      <c r="J21" s="48" t="n">
        <v>11146</v>
      </c>
      <c r="K21" s="48" t="n">
        <v>21383</v>
      </c>
      <c r="M21" s="50" t="n">
        <f aca="false">M20*$B$45</f>
        <v>42525</v>
      </c>
      <c r="N21" s="50" t="n">
        <f aca="false">N20*$B$45</f>
        <v>51679.6875</v>
      </c>
      <c r="O21" s="50" t="n">
        <f aca="false">O20*$B$45</f>
        <v>59239.6875</v>
      </c>
      <c r="P21" s="50" t="n">
        <f aca="false">P20*$B$45</f>
        <v>64397.025</v>
      </c>
      <c r="Q21" s="50" t="n">
        <f aca="false">Q20*$B$45</f>
        <v>67441.248</v>
      </c>
    </row>
    <row r="22" customFormat="false" ht="15" hidden="false" customHeight="false" outlineLevel="0" collapsed="false">
      <c r="A22" s="12" t="s">
        <v>193</v>
      </c>
      <c r="B22" s="26" t="n">
        <f aca="false">B21/B20</f>
        <v>0.125459317585302</v>
      </c>
      <c r="C22" s="26" t="n">
        <f aca="false">C21/C20</f>
        <v>0.0466207759699625</v>
      </c>
      <c r="D22" s="26" t="n">
        <f aca="false">D21/D20</f>
        <v>-0.0628850102669405</v>
      </c>
      <c r="E22" s="26" t="n">
        <f aca="false">E21/E20</f>
        <v>0.0585858585858586</v>
      </c>
      <c r="F22" s="26" t="n">
        <f aca="false">F21/F20</f>
        <v>0.0174642776139714</v>
      </c>
      <c r="G22" s="26" t="n">
        <f aca="false">G21/G20</f>
        <v>0.0190121718137008</v>
      </c>
      <c r="H22" s="26" t="n">
        <f aca="false">H21/H20</f>
        <v>-0.0447261420712748</v>
      </c>
      <c r="I22" s="26" t="n">
        <f aca="false">I21/I20</f>
        <v>0.119995268791768</v>
      </c>
      <c r="J22" s="26" t="n">
        <f aca="false">J21/J20</f>
        <v>0.132649418037274</v>
      </c>
      <c r="K22" s="26" t="n">
        <f aca="false">K21/K20</f>
        <v>0.151170024743726</v>
      </c>
      <c r="M22" s="26" t="n">
        <f aca="false">M21/M20</f>
        <v>0.15</v>
      </c>
      <c r="N22" s="26" t="n">
        <f aca="false">N21/N20</f>
        <v>0.15</v>
      </c>
      <c r="O22" s="26" t="n">
        <f aca="false">O21/O20</f>
        <v>0.15</v>
      </c>
      <c r="P22" s="26" t="n">
        <f aca="false">P21/P20</f>
        <v>0.15</v>
      </c>
      <c r="Q22" s="26" t="n">
        <f aca="false">Q21/Q20</f>
        <v>0.15</v>
      </c>
    </row>
    <row r="23" customFormat="false" ht="15" hidden="false" customHeight="false" outlineLevel="0" collapsed="false">
      <c r="A23" s="7" t="s">
        <v>194</v>
      </c>
      <c r="B23" s="51" t="n">
        <f aca="false">B20-B21</f>
        <v>1666</v>
      </c>
      <c r="C23" s="51" t="n">
        <f aca="false">C20-C21</f>
        <v>3047</v>
      </c>
      <c r="D23" s="51" t="n">
        <f aca="false">D20-D21</f>
        <v>4141</v>
      </c>
      <c r="E23" s="51" t="n">
        <f aca="false">E20-E21</f>
        <v>2796</v>
      </c>
      <c r="F23" s="51" t="n">
        <f aca="false">F20-F21</f>
        <v>4332</v>
      </c>
      <c r="G23" s="51" t="n">
        <f aca="false">G20-G21</f>
        <v>9752</v>
      </c>
      <c r="H23" s="51" t="n">
        <f aca="false">H20-H21</f>
        <v>4368</v>
      </c>
      <c r="I23" s="51" t="n">
        <f aca="false">I20-I21</f>
        <v>29760</v>
      </c>
      <c r="J23" s="51" t="n">
        <f aca="false">J20-J21</f>
        <v>72880</v>
      </c>
      <c r="K23" s="51" t="n">
        <f aca="false">K20-K21</f>
        <v>120067</v>
      </c>
      <c r="L23" s="48" t="n">
        <v>192880</v>
      </c>
      <c r="M23" s="51" t="n">
        <f aca="false">M20-M21</f>
        <v>240975</v>
      </c>
      <c r="N23" s="51" t="n">
        <f aca="false">N20-N21</f>
        <v>292851.5625</v>
      </c>
      <c r="O23" s="51" t="n">
        <f aca="false">O20-O21</f>
        <v>335691.5625</v>
      </c>
      <c r="P23" s="51" t="n">
        <f aca="false">P20-P21</f>
        <v>364916.475</v>
      </c>
      <c r="Q23" s="51" t="n">
        <f aca="false">Q20-Q21</f>
        <v>382167.072</v>
      </c>
    </row>
    <row r="24" customFormat="false" ht="15" hidden="false" customHeight="false" outlineLevel="0" collapsed="false">
      <c r="A24" s="12" t="s">
        <v>195</v>
      </c>
      <c r="B24" s="26" t="n">
        <f aca="false">B23/B8</f>
        <v>0.2410998552822</v>
      </c>
      <c r="C24" s="26" t="n">
        <f aca="false">C23/C8</f>
        <v>0.313670990323245</v>
      </c>
      <c r="D24" s="26" t="n">
        <f aca="false">D23/D8</f>
        <v>0.353448275862069</v>
      </c>
      <c r="E24" s="26" t="n">
        <f aca="false">E23/E8</f>
        <v>0.256090859131709</v>
      </c>
      <c r="F24" s="26" t="n">
        <f aca="false">F23/F8</f>
        <v>0.259790104947526</v>
      </c>
      <c r="G24" s="26" t="n">
        <f aca="false">G23/G8</f>
        <v>0.362339302965</v>
      </c>
      <c r="H24" s="26" t="n">
        <f aca="false">H23/H8</f>
        <v>0.161933713946764</v>
      </c>
      <c r="I24" s="26" t="n">
        <f aca="false">I23/I8</f>
        <v>0.488493483470667</v>
      </c>
      <c r="J24" s="26" t="n">
        <f aca="false">J23/J8</f>
        <v>0.558480271577124</v>
      </c>
      <c r="K24" s="26" t="n">
        <f aca="false">K23/K8</f>
        <v>0.556025340607026</v>
      </c>
      <c r="L24" s="26" t="n">
        <f aca="false">L23/L8</f>
        <v>0.636630689507212</v>
      </c>
      <c r="M24" s="26" t="n">
        <f aca="false">M23/M8</f>
        <v>0.5355</v>
      </c>
      <c r="N24" s="26" t="n">
        <f aca="false">N23/N8</f>
        <v>0.520625</v>
      </c>
      <c r="O24" s="26" t="n">
        <f aca="false">O23/O8</f>
        <v>0.50575</v>
      </c>
      <c r="P24" s="26" t="n">
        <f aca="false">P23/P8</f>
        <v>0.490875</v>
      </c>
      <c r="Q24" s="26" t="n">
        <f aca="false">Q23/Q8</f>
        <v>0.476</v>
      </c>
    </row>
    <row r="25" customFormat="false" ht="15" hidden="false" customHeight="false" outlineLevel="0" collapsed="false">
      <c r="A25" s="12" t="s">
        <v>196</v>
      </c>
      <c r="B25" s="48" t="n">
        <v>25960</v>
      </c>
      <c r="C25" s="48" t="n">
        <v>25280</v>
      </c>
      <c r="D25" s="48" t="n">
        <v>25000</v>
      </c>
      <c r="E25" s="48" t="n">
        <v>24720</v>
      </c>
      <c r="F25" s="48" t="n">
        <v>25100</v>
      </c>
      <c r="G25" s="48" t="n">
        <v>25350</v>
      </c>
      <c r="H25" s="48" t="n">
        <v>25070</v>
      </c>
      <c r="I25" s="48" t="n">
        <v>24940</v>
      </c>
      <c r="J25" s="48" t="n">
        <v>24804</v>
      </c>
      <c r="K25" s="48" t="n">
        <v>24514</v>
      </c>
      <c r="M25" s="50" t="n">
        <f aca="false">$K$25*(1+$B$44)^M$7</f>
        <v>24391.43</v>
      </c>
      <c r="N25" s="50" t="n">
        <f aca="false">$K$25*(1+$B$44)^N$7</f>
        <v>24269.47285</v>
      </c>
      <c r="O25" s="50" t="n">
        <f aca="false">$K$25*(1+$B$44)^O$7</f>
        <v>24148.12548575</v>
      </c>
      <c r="P25" s="50" t="n">
        <f aca="false">$K$25*(1+$B$44)^P$7</f>
        <v>24027.3848583213</v>
      </c>
      <c r="Q25" s="50" t="n">
        <f aca="false">$K$25*(1+$B$44)^Q$7</f>
        <v>23907.2479340296</v>
      </c>
    </row>
    <row r="26" customFormat="false" ht="15" hidden="false" customHeight="false" outlineLevel="0" collapsed="false">
      <c r="A26" s="7" t="s">
        <v>197</v>
      </c>
      <c r="B26" s="34" t="n">
        <f aca="false">B23/B25</f>
        <v>0.064175654853621</v>
      </c>
      <c r="C26" s="34" t="n">
        <f aca="false">C23/C25</f>
        <v>0.120530063291139</v>
      </c>
      <c r="D26" s="34" t="n">
        <f aca="false">D23/D25</f>
        <v>0.16564</v>
      </c>
      <c r="E26" s="34" t="n">
        <f aca="false">E23/E25</f>
        <v>0.113106796116505</v>
      </c>
      <c r="F26" s="34" t="n">
        <f aca="false">F23/F25</f>
        <v>0.172589641434263</v>
      </c>
      <c r="G26" s="34" t="n">
        <f aca="false">G23/G25</f>
        <v>0.384694280078895</v>
      </c>
      <c r="H26" s="34" t="n">
        <f aca="false">H23/H25</f>
        <v>0.174232149980056</v>
      </c>
      <c r="I26" s="34" t="n">
        <f aca="false">I23/I25</f>
        <v>1.19326383319968</v>
      </c>
      <c r="J26" s="34" t="n">
        <f aca="false">J23/J25</f>
        <v>2.93823576842445</v>
      </c>
      <c r="K26" s="34" t="n">
        <f aca="false">K23/K25</f>
        <v>4.89789508036224</v>
      </c>
      <c r="L26" s="18" t="n">
        <v>7.91</v>
      </c>
      <c r="M26" s="34" t="n">
        <f aca="false">M23/M25</f>
        <v>9.87949456017954</v>
      </c>
      <c r="N26" s="34" t="n">
        <f aca="false">N23/N25</f>
        <v>12.0666635122238</v>
      </c>
      <c r="O26" s="34" t="n">
        <f aca="false">O23/O25</f>
        <v>13.9013507569395</v>
      </c>
      <c r="P26" s="34" t="n">
        <f aca="false">P23/P25</f>
        <v>15.1875236173953</v>
      </c>
      <c r="Q26" s="34" t="n">
        <f aca="false">Q23/Q25</f>
        <v>15.9854063108628</v>
      </c>
    </row>
    <row r="27" customFormat="false" ht="15" hidden="false" customHeight="false" outlineLevel="0" collapsed="false">
      <c r="A27" s="12" t="s">
        <v>198</v>
      </c>
      <c r="C27" s="26" t="n">
        <f aca="false">C26/B26-1</f>
        <v>0.878127516829517</v>
      </c>
      <c r="D27" s="26" t="n">
        <f aca="false">D26/C26-1</f>
        <v>0.374262947161142</v>
      </c>
      <c r="E27" s="26" t="n">
        <f aca="false">E26/D26-1</f>
        <v>-0.317152885073021</v>
      </c>
      <c r="F27" s="26" t="n">
        <f aca="false">F26/E26-1</f>
        <v>0.525899834139836</v>
      </c>
      <c r="G27" s="26" t="n">
        <f aca="false">G26/F26-1</f>
        <v>1.22895346952453</v>
      </c>
      <c r="H27" s="26" t="n">
        <f aca="false">H26/G26-1</f>
        <v>-0.547089314807792</v>
      </c>
      <c r="I27" s="26" t="n">
        <f aca="false">I26/H26-1</f>
        <v>5.84870061774633</v>
      </c>
      <c r="J27" s="26" t="n">
        <f aca="false">J26/I26-1</f>
        <v>1.46235215270517</v>
      </c>
      <c r="K27" s="26" t="n">
        <f aca="false">K26/J26-1</f>
        <v>0.666951009512967</v>
      </c>
      <c r="M27" s="26" t="n">
        <f aca="false">M26/L26-1</f>
        <v>0.248987934283127</v>
      </c>
      <c r="N27" s="26" t="n">
        <f aca="false">N26/M26-1</f>
        <v>0.221384701284199</v>
      </c>
      <c r="O27" s="26" t="n">
        <f aca="false">O26/N26-1</f>
        <v>0.152045944005743</v>
      </c>
      <c r="P27" s="26" t="n">
        <f aca="false">P26/O26-1</f>
        <v>0.0925214306828259</v>
      </c>
      <c r="Q27" s="26" t="n">
        <f aca="false">Q26/P26-1</f>
        <v>0.0525354042941986</v>
      </c>
    </row>
    <row r="28" customFormat="false" ht="15" hidden="false" customHeight="false" outlineLevel="0" collapsed="false">
      <c r="A28" s="12" t="s">
        <v>199</v>
      </c>
      <c r="B28" s="48" t="n">
        <v>1496</v>
      </c>
      <c r="C28" s="48" t="n">
        <v>2909</v>
      </c>
      <c r="D28" s="48" t="n">
        <v>3143</v>
      </c>
      <c r="E28" s="48" t="n">
        <v>4272</v>
      </c>
      <c r="F28" s="48" t="n">
        <v>4694</v>
      </c>
      <c r="G28" s="48" t="n">
        <v>8132</v>
      </c>
      <c r="H28" s="48" t="n">
        <v>3808</v>
      </c>
      <c r="I28" s="48" t="n">
        <v>27021</v>
      </c>
      <c r="J28" s="48" t="n">
        <v>60853</v>
      </c>
      <c r="K28" s="48" t="n">
        <v>96676</v>
      </c>
      <c r="L28" s="48" t="n">
        <v>127006</v>
      </c>
      <c r="M28" s="49" t="n">
        <f aca="false">NVDA!C89*1000</f>
        <v>177862.5</v>
      </c>
      <c r="N28" s="49" t="n">
        <f aca="false">NVDA!D89*1000</f>
        <v>219653.61328125</v>
      </c>
      <c r="O28" s="49" t="n">
        <f aca="false">NVDA!E89*1000</f>
        <v>255788.5078125</v>
      </c>
      <c r="P28" s="49" t="n">
        <f aca="false">NVDA!F89*1000</f>
        <v>282395.5903125</v>
      </c>
      <c r="Q28" s="49" t="n">
        <f aca="false">NVDA!G89*1000</f>
        <v>300274.128</v>
      </c>
    </row>
    <row r="29" customFormat="false" ht="15" hidden="false" customHeight="false" outlineLevel="0" collapsed="false">
      <c r="A29" s="12" t="s">
        <v>200</v>
      </c>
      <c r="B29" s="26" t="n">
        <f aca="false">B28/B8</f>
        <v>0.216497829232996</v>
      </c>
      <c r="C29" s="26" t="n">
        <f aca="false">C28/C8</f>
        <v>0.299464690137945</v>
      </c>
      <c r="D29" s="26" t="n">
        <f aca="false">D28/D8</f>
        <v>0.268265619665415</v>
      </c>
      <c r="E29" s="26" t="n">
        <f aca="false">E28/E8</f>
        <v>0.391280454295659</v>
      </c>
      <c r="F29" s="26" t="n">
        <f aca="false">F28/F8</f>
        <v>0.281499250374813</v>
      </c>
      <c r="G29" s="26" t="n">
        <f aca="false">G28/G8</f>
        <v>0.302147581184514</v>
      </c>
      <c r="H29" s="26" t="n">
        <f aca="false">H28/H8</f>
        <v>0.141172981389486</v>
      </c>
      <c r="I29" s="26" t="n">
        <f aca="false">I28/I8</f>
        <v>0.443534355405272</v>
      </c>
      <c r="J29" s="26" t="n">
        <f aca="false">J28/J8</f>
        <v>0.46631723334636</v>
      </c>
      <c r="K29" s="26" t="n">
        <f aca="false">K28/K8</f>
        <v>0.447702581296483</v>
      </c>
      <c r="L29" s="26" t="n">
        <f aca="false">L28/L8</f>
        <v>0.419203221441067</v>
      </c>
      <c r="M29" s="26" t="n">
        <f aca="false">M28/M8</f>
        <v>0.39525</v>
      </c>
      <c r="N29" s="26" t="n">
        <f aca="false">N28/N8</f>
        <v>0.3904953125</v>
      </c>
      <c r="O29" s="26" t="n">
        <f aca="false">O28/O8</f>
        <v>0.38536875</v>
      </c>
      <c r="P29" s="26" t="n">
        <f aca="false">P28/P8</f>
        <v>0.3798703125</v>
      </c>
      <c r="Q29" s="26" t="n">
        <f aca="false">Q28/Q8</f>
        <v>0.374</v>
      </c>
    </row>
    <row r="30" customFormat="false" ht="15" hidden="false" customHeight="false" outlineLevel="0" collapsed="false">
      <c r="A30" s="12" t="s">
        <v>201</v>
      </c>
      <c r="B30" s="48" t="n">
        <v>176</v>
      </c>
      <c r="C30" s="48" t="n">
        <v>593</v>
      </c>
      <c r="D30" s="48" t="n">
        <v>600</v>
      </c>
      <c r="E30" s="48" t="n">
        <v>489</v>
      </c>
      <c r="F30" s="48" t="n">
        <v>1128</v>
      </c>
      <c r="G30" s="48" t="n">
        <v>976</v>
      </c>
      <c r="H30" s="48" t="n">
        <v>1833</v>
      </c>
      <c r="I30" s="48" t="n">
        <v>1069</v>
      </c>
      <c r="J30" s="48" t="n">
        <v>3236</v>
      </c>
      <c r="K30" s="48" t="n">
        <v>6042</v>
      </c>
    </row>
    <row r="31" customFormat="false" ht="15" hidden="false" customHeight="false" outlineLevel="0" collapsed="false">
      <c r="A31" s="12" t="s">
        <v>202</v>
      </c>
      <c r="B31" s="26" t="n">
        <f aca="false">B30/B8</f>
        <v>0.0254703328509407</v>
      </c>
      <c r="C31" s="26" t="n">
        <f aca="false">C30/C8</f>
        <v>0.0610459131150916</v>
      </c>
      <c r="D31" s="26" t="n">
        <f aca="false">D30/D8</f>
        <v>0.0512120177534995</v>
      </c>
      <c r="E31" s="26" t="n">
        <f aca="false">E30/E8</f>
        <v>0.0447884227880564</v>
      </c>
      <c r="F31" s="26" t="n">
        <f aca="false">F30/F8</f>
        <v>0.0676461769115442</v>
      </c>
      <c r="G31" s="26" t="n">
        <f aca="false">G30/G8</f>
        <v>0.0362636546035521</v>
      </c>
      <c r="H31" s="26" t="n">
        <f aca="false">H30/H8</f>
        <v>0.067954326388374</v>
      </c>
      <c r="I31" s="26" t="n">
        <f aca="false">I30/I8</f>
        <v>0.017547027346443</v>
      </c>
      <c r="J31" s="26" t="n">
        <f aca="false">J30/J8</f>
        <v>0.0247975049234848</v>
      </c>
      <c r="K31" s="26" t="n">
        <f aca="false">K30/K8</f>
        <v>0.0279802535913086</v>
      </c>
    </row>
    <row r="33" customFormat="false" ht="15" hidden="false" customHeight="false" outlineLevel="0" collapsed="false">
      <c r="A33" s="8" t="s">
        <v>203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false" outlineLevel="0" collapsed="false">
      <c r="A34" s="12" t="s">
        <v>204</v>
      </c>
      <c r="B34" s="48" t="n">
        <v>1934</v>
      </c>
      <c r="C34" s="48" t="n">
        <v>3210</v>
      </c>
      <c r="D34" s="48" t="n">
        <v>3804</v>
      </c>
      <c r="E34" s="48" t="n">
        <v>2846</v>
      </c>
      <c r="F34" s="48" t="n">
        <v>4532</v>
      </c>
      <c r="G34" s="48" t="n">
        <v>10041</v>
      </c>
      <c r="H34" s="48" t="n">
        <v>4224</v>
      </c>
      <c r="I34" s="48" t="n">
        <v>32972</v>
      </c>
      <c r="J34" s="48" t="n">
        <v>81453</v>
      </c>
      <c r="K34" s="48" t="n">
        <v>130387</v>
      </c>
    </row>
    <row r="35" customFormat="false" ht="15" hidden="false" customHeight="false" outlineLevel="0" collapsed="false">
      <c r="A35" s="12" t="s">
        <v>205</v>
      </c>
      <c r="B35" s="50" t="n">
        <f aca="false">B17-B34</f>
        <v>0</v>
      </c>
      <c r="C35" s="50" t="n">
        <f aca="false">C17-C34</f>
        <v>0</v>
      </c>
      <c r="D35" s="50" t="n">
        <f aca="false">D17-D34</f>
        <v>0</v>
      </c>
      <c r="E35" s="50" t="n">
        <f aca="false">E17-E34</f>
        <v>0</v>
      </c>
      <c r="F35" s="50" t="n">
        <f aca="false">F17-F34</f>
        <v>0</v>
      </c>
      <c r="G35" s="50" t="n">
        <f aca="false">G17-G34</f>
        <v>0</v>
      </c>
      <c r="H35" s="50" t="n">
        <f aca="false">H17-H34</f>
        <v>0</v>
      </c>
      <c r="I35" s="50" t="n">
        <f aca="false">I17-I34</f>
        <v>0</v>
      </c>
      <c r="J35" s="50" t="n">
        <f aca="false">J17-J34</f>
        <v>0</v>
      </c>
      <c r="K35" s="50" t="n">
        <f aca="false">K17-K34</f>
        <v>0</v>
      </c>
    </row>
    <row r="36" customFormat="false" ht="15" hidden="false" customHeight="false" outlineLevel="0" collapsed="false">
      <c r="A36" s="12" t="s">
        <v>206</v>
      </c>
      <c r="B36" s="48" t="n">
        <v>1666</v>
      </c>
      <c r="C36" s="48" t="n">
        <v>3047</v>
      </c>
      <c r="D36" s="48" t="n">
        <v>4141</v>
      </c>
      <c r="E36" s="48" t="n">
        <v>2796</v>
      </c>
      <c r="F36" s="48" t="n">
        <v>4332</v>
      </c>
      <c r="G36" s="48" t="n">
        <v>9752</v>
      </c>
      <c r="H36" s="48" t="n">
        <v>4368</v>
      </c>
      <c r="I36" s="48" t="n">
        <v>29760</v>
      </c>
      <c r="J36" s="48" t="n">
        <v>72880</v>
      </c>
      <c r="K36" s="48" t="n">
        <v>120067</v>
      </c>
    </row>
    <row r="37" customFormat="false" ht="15" hidden="false" customHeight="false" outlineLevel="0" collapsed="false">
      <c r="A37" s="12" t="s">
        <v>205</v>
      </c>
      <c r="B37" s="50" t="n">
        <f aca="false">B23-B36</f>
        <v>0</v>
      </c>
      <c r="C37" s="50" t="n">
        <f aca="false">C23-C36</f>
        <v>0</v>
      </c>
      <c r="D37" s="50" t="n">
        <f aca="false">D23-D36</f>
        <v>0</v>
      </c>
      <c r="E37" s="50" t="n">
        <f aca="false">E23-E36</f>
        <v>0</v>
      </c>
      <c r="F37" s="50" t="n">
        <f aca="false">F23-F36</f>
        <v>0</v>
      </c>
      <c r="G37" s="50" t="n">
        <f aca="false">G23-G36</f>
        <v>0</v>
      </c>
      <c r="H37" s="50" t="n">
        <f aca="false">H23-H36</f>
        <v>0</v>
      </c>
      <c r="I37" s="50" t="n">
        <f aca="false">I23-I36</f>
        <v>0</v>
      </c>
      <c r="J37" s="50" t="n">
        <f aca="false">J23-J36</f>
        <v>0</v>
      </c>
      <c r="K37" s="50" t="n">
        <f aca="false">K23-K36</f>
        <v>0</v>
      </c>
    </row>
    <row r="39" customFormat="false" ht="15" hidden="false" customHeight="false" outlineLevel="0" collapsed="false">
      <c r="A39" s="8" t="s">
        <v>207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false" outlineLevel="0" collapsed="false">
      <c r="A40" s="12" t="s">
        <v>208</v>
      </c>
      <c r="B40" s="52" t="n">
        <v>0.73</v>
      </c>
    </row>
    <row r="41" customFormat="false" ht="15" hidden="false" customHeight="false" outlineLevel="0" collapsed="false">
      <c r="A41" s="12" t="s">
        <v>209</v>
      </c>
      <c r="B41" s="52" t="n">
        <v>0.69</v>
      </c>
    </row>
    <row r="42" customFormat="false" ht="15" hidden="false" customHeight="false" outlineLevel="0" collapsed="false">
      <c r="A42" s="12" t="s">
        <v>210</v>
      </c>
      <c r="B42" s="21" t="n">
        <v>0.8</v>
      </c>
    </row>
    <row r="43" customFormat="false" ht="15" hidden="false" customHeight="false" outlineLevel="0" collapsed="false">
      <c r="A43" s="12" t="s">
        <v>211</v>
      </c>
      <c r="B43" s="22" t="n">
        <v>0.01</v>
      </c>
    </row>
    <row r="44" customFormat="false" ht="15" hidden="false" customHeight="false" outlineLevel="0" collapsed="false">
      <c r="A44" s="12" t="s">
        <v>212</v>
      </c>
      <c r="B44" s="21" t="n">
        <v>-0.005</v>
      </c>
    </row>
    <row r="45" customFormat="false" ht="15" hidden="false" customHeight="false" outlineLevel="0" collapsed="false">
      <c r="A45" s="12" t="s">
        <v>213</v>
      </c>
      <c r="B45" s="15" t="n">
        <f aca="false">NVDA!B11</f>
        <v>0.15</v>
      </c>
    </row>
    <row r="48" customFormat="false" ht="15" hidden="false" customHeight="false" outlineLevel="0" collapsed="false">
      <c r="A48" s="8" t="s">
        <v>214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false" outlineLevel="0" collapsed="false">
      <c r="A49" s="12" t="s">
        <v>215</v>
      </c>
      <c r="B49" s="26" t="n">
        <f aca="false">(K8/H8)^(1/3)-1</f>
        <v>1.0004509499444</v>
      </c>
    </row>
    <row r="50" customFormat="false" ht="15" hidden="false" customHeight="false" outlineLevel="0" collapsed="false">
      <c r="A50" s="12" t="s">
        <v>47</v>
      </c>
      <c r="B50" s="26" t="n">
        <f aca="false">(K8/F8)^(1/5)-1</f>
        <v>0.668985818314878</v>
      </c>
    </row>
    <row r="51" customFormat="false" ht="15" hidden="false" customHeight="false" outlineLevel="0" collapsed="false">
      <c r="A51" s="12" t="s">
        <v>216</v>
      </c>
      <c r="B51" s="26" t="n">
        <f aca="false">(K8/B8)^(1/9)-1</f>
        <v>0.465866968244121</v>
      </c>
    </row>
    <row r="52" customFormat="false" ht="15" hidden="false" customHeight="false" outlineLevel="0" collapsed="false">
      <c r="A52" s="12" t="s">
        <v>217</v>
      </c>
      <c r="B52" s="26" t="n">
        <f aca="false">(Q8/L8)^(1/5)-1</f>
        <v>0.2152044104052</v>
      </c>
    </row>
    <row r="53" customFormat="false" ht="15" hidden="false" customHeight="false" outlineLevel="0" collapsed="false">
      <c r="A53" s="12" t="s">
        <v>218</v>
      </c>
      <c r="B53" s="26" t="n">
        <f aca="false">AVERAGE(B18:K18)</f>
        <v>0.376635506546849</v>
      </c>
    </row>
    <row r="54" customFormat="false" ht="15" hidden="false" customHeight="false" outlineLevel="0" collapsed="false">
      <c r="A54" s="12" t="s">
        <v>219</v>
      </c>
      <c r="B54" s="26" t="n">
        <f aca="false">K18</f>
        <v>0.603816836314127</v>
      </c>
    </row>
    <row r="55" customFormat="false" ht="15" hidden="false" customHeight="false" outlineLevel="0" collapsed="false">
      <c r="A55" s="12" t="s">
        <v>220</v>
      </c>
      <c r="B55" s="26" t="n">
        <f aca="false">Q18</f>
        <v>0.55</v>
      </c>
    </row>
    <row r="56" customFormat="false" ht="15" hidden="false" customHeight="false" outlineLevel="0" collapsed="false">
      <c r="A56" s="12" t="s">
        <v>221</v>
      </c>
      <c r="B56" s="26" t="n">
        <f aca="false">(K26/B26)^(1/9)-1</f>
        <v>0.618758753375835</v>
      </c>
    </row>
    <row r="57" customFormat="false" ht="15" hidden="false" customHeight="false" outlineLevel="0" collapsed="false">
      <c r="A57" s="12" t="s">
        <v>222</v>
      </c>
      <c r="B57" s="26" t="n">
        <f aca="false">(Q26/L26)^(1/5)-1</f>
        <v>0.151090419198217</v>
      </c>
    </row>
    <row r="59" customFormat="false" ht="15" hidden="false" customHeight="false" outlineLevel="0" collapsed="false">
      <c r="A59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5" t="s">
        <v>224</v>
      </c>
    </row>
    <row r="2" customFormat="false" ht="15" hidden="false" customHeight="false" outlineLevel="0" collapsed="false">
      <c r="A2" s="6" t="s">
        <v>50</v>
      </c>
    </row>
    <row r="4" customFormat="false" ht="15" hidden="false" customHeight="false" outlineLevel="0" collapsed="false">
      <c r="A4" s="8" t="s">
        <v>51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12" t="s">
        <v>29</v>
      </c>
      <c r="B5" s="18" t="n">
        <v>665.75</v>
      </c>
    </row>
    <row r="6" customFormat="false" ht="15" hidden="false" customHeight="false" outlineLevel="0" collapsed="false">
      <c r="A6" s="12" t="s">
        <v>52</v>
      </c>
      <c r="B6" s="19" t="n">
        <v>1700</v>
      </c>
    </row>
    <row r="7" customFormat="false" ht="15" hidden="false" customHeight="false" outlineLevel="0" collapsed="false">
      <c r="A7" s="12" t="s">
        <v>53</v>
      </c>
      <c r="B7" s="20" t="n">
        <f aca="false">B6/B5</f>
        <v>2.55351107773188</v>
      </c>
    </row>
    <row r="8" customFormat="false" ht="15" hidden="false" customHeight="false" outlineLevel="0" collapsed="false">
      <c r="A8" s="12" t="s">
        <v>54</v>
      </c>
      <c r="B8" s="19" t="n">
        <v>90.26</v>
      </c>
    </row>
    <row r="9" customFormat="false" ht="15" hidden="false" customHeight="false" outlineLevel="0" collapsed="false">
      <c r="A9" s="12" t="s">
        <v>55</v>
      </c>
      <c r="B9" s="19" t="n">
        <v>112.32</v>
      </c>
    </row>
    <row r="10" customFormat="false" ht="15" hidden="false" customHeight="false" outlineLevel="0" collapsed="false">
      <c r="A10" s="12" t="s">
        <v>56</v>
      </c>
      <c r="B10" s="19" t="n">
        <v>228.25</v>
      </c>
    </row>
    <row r="11" customFormat="false" ht="15" hidden="false" customHeight="false" outlineLevel="0" collapsed="false">
      <c r="A11" s="12" t="s">
        <v>57</v>
      </c>
      <c r="B11" s="21" t="n">
        <v>0.15</v>
      </c>
    </row>
    <row r="13" customFormat="false" ht="15" hidden="false" customHeight="false" outlineLevel="0" collapsed="false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12" t="s">
        <v>59</v>
      </c>
      <c r="B14" s="22" t="n">
        <v>0.0494</v>
      </c>
    </row>
    <row r="15" customFormat="false" ht="15" hidden="false" customHeight="false" outlineLevel="0" collapsed="false">
      <c r="A15" s="12" t="s">
        <v>60</v>
      </c>
      <c r="B15" s="22" t="n">
        <v>0.045</v>
      </c>
    </row>
    <row r="16" customFormat="false" ht="15" hidden="false" customHeight="false" outlineLevel="0" collapsed="false">
      <c r="A16" s="12" t="s">
        <v>61</v>
      </c>
      <c r="B16" s="23" t="n">
        <v>1.24</v>
      </c>
    </row>
    <row r="17" customFormat="false" ht="15" hidden="false" customHeight="false" outlineLevel="0" collapsed="false">
      <c r="A17" s="12" t="s">
        <v>62</v>
      </c>
      <c r="B17" s="23" t="n">
        <v>0.67</v>
      </c>
    </row>
    <row r="18" customFormat="false" ht="15" hidden="false" customHeight="false" outlineLevel="0" collapsed="false">
      <c r="A18" s="12" t="s">
        <v>63</v>
      </c>
      <c r="B18" s="24" t="n">
        <f aca="false">B17*B16+(1-B17)*1</f>
        <v>1.1608</v>
      </c>
    </row>
    <row r="19" customFormat="false" ht="15" hidden="false" customHeight="false" outlineLevel="0" collapsed="false">
      <c r="A19" s="12" t="s">
        <v>64</v>
      </c>
      <c r="B19" s="25" t="n">
        <f aca="false">B14+B18*B15</f>
        <v>0.101636</v>
      </c>
    </row>
    <row r="20" customFormat="false" ht="15" hidden="false" customHeight="false" outlineLevel="0" collapsed="false">
      <c r="A20" s="12" t="s">
        <v>65</v>
      </c>
      <c r="B20" s="22" t="n">
        <v>0.0575</v>
      </c>
    </row>
    <row r="21" customFormat="false" ht="15" hidden="false" customHeight="false" outlineLevel="0" collapsed="false">
      <c r="A21" s="12" t="s">
        <v>66</v>
      </c>
      <c r="B21" s="25" t="n">
        <f aca="false">B20*(1-B11)</f>
        <v>0.048875</v>
      </c>
    </row>
    <row r="22" customFormat="false" ht="15" hidden="false" customHeight="false" outlineLevel="0" collapsed="false">
      <c r="A22" s="12" t="s">
        <v>67</v>
      </c>
      <c r="B22" s="26" t="n">
        <f aca="false">B6/(B6+B9)</f>
        <v>0.938024189988523</v>
      </c>
    </row>
    <row r="23" customFormat="false" ht="15" hidden="false" customHeight="false" outlineLevel="0" collapsed="false">
      <c r="A23" s="12" t="s">
        <v>68</v>
      </c>
      <c r="B23" s="26" t="n">
        <f aca="false">B9/(B6+B9)</f>
        <v>0.061975810011477</v>
      </c>
    </row>
    <row r="24" customFormat="false" ht="15" hidden="false" customHeight="false" outlineLevel="0" collapsed="false">
      <c r="A24" s="12" t="s">
        <v>69</v>
      </c>
      <c r="B24" s="25" t="n">
        <f aca="false">B22*B19+B23*B21</f>
        <v>0.0983660942879845</v>
      </c>
    </row>
    <row r="25" customFormat="false" ht="15" hidden="false" customHeight="false" outlineLevel="0" collapsed="false">
      <c r="A25" s="12" t="s">
        <v>70</v>
      </c>
      <c r="B25" s="27" t="n">
        <v>0.08</v>
      </c>
    </row>
    <row r="26" customFormat="false" ht="15" hidden="false" customHeight="false" outlineLevel="0" collapsed="false">
      <c r="A26" s="12" t="s">
        <v>71</v>
      </c>
      <c r="B26" s="27" t="n">
        <v>0.11</v>
      </c>
    </row>
    <row r="27" customFormat="false" ht="15" hidden="false" customHeight="false" outlineLevel="0" collapsed="false">
      <c r="A27" s="7" t="s">
        <v>30</v>
      </c>
      <c r="B27" s="28" t="n">
        <f aca="false">MEDIAN(B25,B24,B26)</f>
        <v>0.0983660942879845</v>
      </c>
    </row>
    <row r="28" customFormat="false" ht="15" hidden="false" customHeight="false" outlineLevel="0" collapsed="false">
      <c r="A28" s="12" t="s">
        <v>72</v>
      </c>
      <c r="B28" s="27" t="n">
        <v>0.03</v>
      </c>
    </row>
    <row r="29" customFormat="false" ht="15" hidden="false" customHeight="false" outlineLevel="0" collapsed="false">
      <c r="A29" s="12" t="s">
        <v>73</v>
      </c>
      <c r="B29" s="27" t="n">
        <v>0.03</v>
      </c>
    </row>
    <row r="31" customFormat="false" ht="15" hidden="false" customHeight="false" outlineLevel="0" collapsed="false">
      <c r="A31" s="8" t="s">
        <v>74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0" t="s">
        <v>75</v>
      </c>
      <c r="B32" s="10" t="s">
        <v>76</v>
      </c>
      <c r="C32" s="11" t="s">
        <v>77</v>
      </c>
      <c r="D32" s="11" t="s">
        <v>78</v>
      </c>
      <c r="E32" s="11" t="s">
        <v>79</v>
      </c>
      <c r="F32" s="11" t="s">
        <v>80</v>
      </c>
    </row>
    <row r="33" customFormat="false" ht="30" hidden="false" customHeight="true" outlineLevel="0" collapsed="false">
      <c r="A33" s="29" t="s">
        <v>81</v>
      </c>
      <c r="B33" s="30" t="s">
        <v>225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customFormat="false" ht="30" hidden="false" customHeight="true" outlineLevel="0" collapsed="false">
      <c r="A34" s="29" t="s">
        <v>83</v>
      </c>
      <c r="B34" s="30" t="s">
        <v>226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customFormat="false" ht="30" hidden="false" customHeight="true" outlineLevel="0" collapsed="false">
      <c r="A35" s="29" t="s">
        <v>85</v>
      </c>
      <c r="B35" s="30" t="s">
        <v>227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30" hidden="false" customHeight="true" outlineLevel="0" collapsed="false">
      <c r="A36" s="29" t="s">
        <v>87</v>
      </c>
      <c r="B36" s="30" t="s">
        <v>88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8" customFormat="false" ht="15" hidden="false" customHeight="false" outlineLevel="0" collapsed="false">
      <c r="A38" s="12" t="s">
        <v>89</v>
      </c>
      <c r="B38" s="6" t="s">
        <v>90</v>
      </c>
      <c r="C38" s="19" t="n">
        <v>255</v>
      </c>
      <c r="D38" s="19" t="n">
        <v>268</v>
      </c>
      <c r="E38" s="19" t="n">
        <v>280</v>
      </c>
      <c r="F38" s="31" t="n">
        <f aca="false">D38</f>
        <v>268</v>
      </c>
    </row>
    <row r="39" customFormat="false" ht="15" hidden="false" customHeight="false" outlineLevel="0" collapsed="false">
      <c r="A39" s="12" t="s">
        <v>91</v>
      </c>
      <c r="B39" s="6" t="s">
        <v>92</v>
      </c>
      <c r="C39" s="21" t="n">
        <v>0.06</v>
      </c>
      <c r="D39" s="21" t="n">
        <v>0.14</v>
      </c>
      <c r="E39" s="21" t="n">
        <v>0.18</v>
      </c>
      <c r="F39" s="26" t="n">
        <f aca="false">D39*$F$47</f>
        <v>0.255122</v>
      </c>
    </row>
    <row r="40" customFormat="false" ht="15" hidden="false" customHeight="false" outlineLevel="0" collapsed="false">
      <c r="A40" s="12" t="s">
        <v>93</v>
      </c>
      <c r="B40" s="6" t="s">
        <v>92</v>
      </c>
      <c r="C40" s="21" t="n">
        <v>0.04</v>
      </c>
      <c r="D40" s="21" t="n">
        <v>0.11</v>
      </c>
      <c r="E40" s="21" t="n">
        <v>0.15</v>
      </c>
      <c r="F40" s="26" t="n">
        <f aca="false">D40*$F$47</f>
        <v>0.200453</v>
      </c>
    </row>
    <row r="41" customFormat="false" ht="15" hidden="false" customHeight="false" outlineLevel="0" collapsed="false">
      <c r="A41" s="12" t="s">
        <v>94</v>
      </c>
      <c r="B41" s="6" t="s">
        <v>92</v>
      </c>
      <c r="C41" s="21" t="n">
        <v>0.03</v>
      </c>
      <c r="D41" s="21" t="n">
        <v>0.09</v>
      </c>
      <c r="E41" s="21" t="n">
        <v>0.12</v>
      </c>
      <c r="F41" s="26" t="n">
        <f aca="false">D41*$F$47</f>
        <v>0.164007</v>
      </c>
    </row>
    <row r="42" customFormat="false" ht="15" hidden="false" customHeight="false" outlineLevel="0" collapsed="false">
      <c r="A42" s="12" t="s">
        <v>95</v>
      </c>
      <c r="B42" s="6" t="s">
        <v>92</v>
      </c>
      <c r="C42" s="21" t="n">
        <v>0.03</v>
      </c>
      <c r="D42" s="21" t="n">
        <v>0.08</v>
      </c>
      <c r="E42" s="21" t="n">
        <v>0.1</v>
      </c>
      <c r="F42" s="26" t="n">
        <f aca="false">D42*$F$47</f>
        <v>0.145784</v>
      </c>
    </row>
    <row r="43" customFormat="false" ht="15" hidden="false" customHeight="false" outlineLevel="0" collapsed="false">
      <c r="A43" s="12" t="s">
        <v>96</v>
      </c>
      <c r="B43" s="6" t="s">
        <v>92</v>
      </c>
      <c r="C43" s="21" t="n">
        <v>0.3</v>
      </c>
      <c r="D43" s="21" t="n">
        <v>0.34</v>
      </c>
      <c r="E43" s="21" t="n">
        <v>0.38</v>
      </c>
      <c r="F43" s="26" t="n">
        <f aca="false">D43</f>
        <v>0.34</v>
      </c>
    </row>
    <row r="44" customFormat="false" ht="15" hidden="false" customHeight="false" outlineLevel="0" collapsed="false">
      <c r="A44" s="12" t="s">
        <v>97</v>
      </c>
      <c r="B44" s="6" t="s">
        <v>92</v>
      </c>
      <c r="C44" s="21" t="n">
        <v>0.28</v>
      </c>
      <c r="D44" s="21" t="n">
        <v>0.36</v>
      </c>
      <c r="E44" s="21" t="n">
        <v>0.42</v>
      </c>
      <c r="F44" s="26" t="n">
        <f aca="false">D44</f>
        <v>0.36</v>
      </c>
    </row>
    <row r="45" customFormat="false" ht="15" hidden="false" customHeight="false" outlineLevel="0" collapsed="false">
      <c r="A45" s="12" t="s">
        <v>98</v>
      </c>
      <c r="B45" s="6" t="s">
        <v>92</v>
      </c>
      <c r="C45" s="21" t="n">
        <v>0.45</v>
      </c>
      <c r="D45" s="21" t="n">
        <v>0.55</v>
      </c>
      <c r="E45" s="21" t="n">
        <v>0.6</v>
      </c>
      <c r="F45" s="26" t="n">
        <f aca="false">D45</f>
        <v>0.55</v>
      </c>
    </row>
    <row r="46" customFormat="false" ht="15" hidden="false" customHeight="false" outlineLevel="0" collapsed="false">
      <c r="A46" s="12" t="s">
        <v>99</v>
      </c>
      <c r="B46" s="6" t="s">
        <v>92</v>
      </c>
      <c r="C46" s="21" t="n">
        <v>0.6</v>
      </c>
      <c r="D46" s="21" t="n">
        <v>0.75</v>
      </c>
      <c r="E46" s="21" t="n">
        <v>0.85</v>
      </c>
      <c r="F46" s="26" t="n">
        <f aca="false">D46</f>
        <v>0.75</v>
      </c>
    </row>
    <row r="47" customFormat="false" ht="15" hidden="false" customHeight="false" outlineLevel="0" collapsed="false">
      <c r="A47" s="12" t="s">
        <v>100</v>
      </c>
      <c r="B47" s="6" t="s">
        <v>101</v>
      </c>
      <c r="C47" s="32" t="n">
        <v>1</v>
      </c>
      <c r="D47" s="32" t="n">
        <v>1</v>
      </c>
      <c r="E47" s="32" t="n">
        <v>1</v>
      </c>
      <c r="F47" s="33" t="n">
        <v>1.8223</v>
      </c>
      <c r="G47" s="6" t="s">
        <v>102</v>
      </c>
    </row>
    <row r="49" customFormat="false" ht="15" hidden="false" customHeight="false" outlineLevel="0" collapsed="false">
      <c r="A49" s="8" t="s">
        <v>103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10" t="s">
        <v>26</v>
      </c>
      <c r="B50" s="10" t="s">
        <v>76</v>
      </c>
      <c r="C50" s="11" t="s">
        <v>77</v>
      </c>
      <c r="D50" s="11" t="s">
        <v>78</v>
      </c>
      <c r="E50" s="11" t="s">
        <v>79</v>
      </c>
      <c r="F50" s="11" t="s">
        <v>80</v>
      </c>
    </row>
    <row r="51" customFormat="false" ht="15" hidden="false" customHeight="false" outlineLevel="0" collapsed="false">
      <c r="A51" s="12" t="s">
        <v>104</v>
      </c>
      <c r="B51" s="6" t="s">
        <v>90</v>
      </c>
      <c r="C51" s="31" t="n">
        <f aca="false">SUM(C77:L77)</f>
        <v>245.534342419848</v>
      </c>
      <c r="D51" s="31" t="n">
        <f aca="false">SUM(C91:L91)</f>
        <v>499.533000635199</v>
      </c>
      <c r="E51" s="31" t="n">
        <f aca="false">SUM(C105:L105)</f>
        <v>757.676356240315</v>
      </c>
      <c r="F51" s="31" t="n">
        <f aca="false">SUM(C119:L119)</f>
        <v>671.968331994061</v>
      </c>
    </row>
    <row r="52" customFormat="false" ht="15" hidden="false" customHeight="false" outlineLevel="0" collapsed="false">
      <c r="A52" s="12" t="s">
        <v>105</v>
      </c>
      <c r="B52" s="6" t="s">
        <v>90</v>
      </c>
      <c r="C52" s="31" t="n">
        <f aca="false">L75*(1+$B$28)/($B$27-$B$28)</f>
        <v>743.814466006955</v>
      </c>
      <c r="D52" s="31" t="n">
        <f aca="false">L89*(1+$B$28)/($B$27-$B$28)</f>
        <v>1760.92771391447</v>
      </c>
      <c r="E52" s="31" t="n">
        <f aca="false">L103*(1+$B$28)/($B$27-$B$28)</f>
        <v>2834.52430595599</v>
      </c>
      <c r="F52" s="31" t="n">
        <f aca="false">L117*(1+$B$28)/($B$27-$B$28)</f>
        <v>2683.43808221289</v>
      </c>
    </row>
    <row r="53" customFormat="false" ht="15" hidden="false" customHeight="false" outlineLevel="0" collapsed="false">
      <c r="A53" s="12" t="s">
        <v>106</v>
      </c>
      <c r="B53" s="6" t="s">
        <v>90</v>
      </c>
      <c r="C53" s="31" t="n">
        <f aca="false">C52*L76</f>
        <v>291.067314834098</v>
      </c>
      <c r="D53" s="31" t="n">
        <f aca="false">D52*L90</f>
        <v>689.0811146193</v>
      </c>
      <c r="E53" s="31" t="n">
        <f aca="false">E52*L104</f>
        <v>1109.19781245406</v>
      </c>
      <c r="F53" s="31" t="n">
        <f aca="false">F52*L118</f>
        <v>1050.07519053275</v>
      </c>
    </row>
    <row r="54" customFormat="false" ht="15" hidden="false" customHeight="false" outlineLevel="0" collapsed="false">
      <c r="A54" s="12" t="s">
        <v>107</v>
      </c>
      <c r="B54" s="6" t="s">
        <v>90</v>
      </c>
      <c r="C54" s="31" t="n">
        <f aca="false">C51+C53</f>
        <v>536.601657253946</v>
      </c>
      <c r="D54" s="31" t="n">
        <f aca="false">D51+D53</f>
        <v>1188.6141152545</v>
      </c>
      <c r="E54" s="31" t="n">
        <f aca="false">E51+E53</f>
        <v>1866.87416869437</v>
      </c>
      <c r="F54" s="31" t="n">
        <f aca="false">F51+F53</f>
        <v>1722.04352252681</v>
      </c>
    </row>
    <row r="55" customFormat="false" ht="15" hidden="false" customHeight="false" outlineLevel="0" collapsed="false">
      <c r="A55" s="12" t="s">
        <v>108</v>
      </c>
      <c r="B55" s="6" t="s">
        <v>90</v>
      </c>
      <c r="C55" s="31" t="n">
        <f aca="false">$B$8</f>
        <v>90.26</v>
      </c>
      <c r="D55" s="31" t="n">
        <f aca="false">$B$8</f>
        <v>90.26</v>
      </c>
      <c r="E55" s="31" t="n">
        <f aca="false">$B$8</f>
        <v>90.26</v>
      </c>
      <c r="F55" s="31" t="n">
        <f aca="false">$B$8</f>
        <v>90.26</v>
      </c>
    </row>
    <row r="56" customFormat="false" ht="15" hidden="false" customHeight="false" outlineLevel="0" collapsed="false">
      <c r="A56" s="12" t="s">
        <v>109</v>
      </c>
      <c r="B56" s="6" t="s">
        <v>90</v>
      </c>
      <c r="C56" s="31" t="n">
        <f aca="false">-$B$9</f>
        <v>-112.32</v>
      </c>
      <c r="D56" s="31" t="n">
        <f aca="false">-$B$9</f>
        <v>-112.32</v>
      </c>
      <c r="E56" s="31" t="n">
        <f aca="false">-$B$9</f>
        <v>-112.32</v>
      </c>
      <c r="F56" s="31" t="n">
        <f aca="false">-$B$9</f>
        <v>-112.32</v>
      </c>
    </row>
    <row r="57" customFormat="false" ht="15" hidden="false" customHeight="false" outlineLevel="0" collapsed="false">
      <c r="A57" s="12" t="s">
        <v>110</v>
      </c>
      <c r="B57" s="6" t="s">
        <v>90</v>
      </c>
      <c r="C57" s="31" t="n">
        <f aca="false">C54+C55+C56</f>
        <v>514.541657253946</v>
      </c>
      <c r="D57" s="31" t="n">
        <f aca="false">D54+D55+D56</f>
        <v>1166.5541152545</v>
      </c>
      <c r="E57" s="31" t="n">
        <f aca="false">E54+E55+E56</f>
        <v>1844.81416869437</v>
      </c>
      <c r="F57" s="31" t="n">
        <f aca="false">F54+F55+F56</f>
        <v>1699.98352252681</v>
      </c>
    </row>
    <row r="58" customFormat="false" ht="15" hidden="false" customHeight="false" outlineLevel="0" collapsed="false">
      <c r="A58" s="7" t="s">
        <v>111</v>
      </c>
      <c r="B58" s="6" t="s">
        <v>112</v>
      </c>
      <c r="C58" s="34" t="n">
        <f aca="false">C57/$B$7</f>
        <v>201.503593127538</v>
      </c>
      <c r="D58" s="34" t="n">
        <f aca="false">D57/$B$7</f>
        <v>456.843177782755</v>
      </c>
      <c r="E58" s="34" t="n">
        <f aca="false">E57/$B$7</f>
        <v>722.46178400487</v>
      </c>
      <c r="F58" s="34" t="n">
        <f aca="false">F57/$B$7</f>
        <v>665.74354713072</v>
      </c>
    </row>
    <row r="59" customFormat="false" ht="15" hidden="false" customHeight="false" outlineLevel="0" collapsed="false">
      <c r="A59" s="12" t="s">
        <v>113</v>
      </c>
      <c r="B59" s="6" t="s">
        <v>112</v>
      </c>
      <c r="C59" s="35" t="n">
        <f aca="false">$B$5</f>
        <v>665.75</v>
      </c>
      <c r="D59" s="35" t="n">
        <f aca="false">$B$5</f>
        <v>665.75</v>
      </c>
      <c r="E59" s="35" t="n">
        <f aca="false">$B$5</f>
        <v>665.75</v>
      </c>
      <c r="F59" s="35" t="n">
        <f aca="false">$B$5</f>
        <v>665.75</v>
      </c>
    </row>
    <row r="60" customFormat="false" ht="15" hidden="false" customHeight="false" outlineLevel="0" collapsed="false">
      <c r="A60" s="7" t="s">
        <v>114</v>
      </c>
      <c r="B60" s="6" t="s">
        <v>92</v>
      </c>
      <c r="C60" s="36" t="n">
        <f aca="false">C58/C59-1</f>
        <v>-0.697328436909443</v>
      </c>
      <c r="D60" s="36" t="n">
        <f aca="false">D58/D59-1</f>
        <v>-0.313791696909118</v>
      </c>
      <c r="E60" s="36" t="n">
        <f aca="false">E58/E59-1</f>
        <v>0.0851848051143367</v>
      </c>
      <c r="F60" s="36" t="n">
        <f aca="false">F58/F59-1</f>
        <v>-9.69263128769438E-006</v>
      </c>
    </row>
    <row r="61" customFormat="false" ht="15" hidden="false" customHeight="false" outlineLevel="0" collapsed="false">
      <c r="A61" s="12" t="s">
        <v>115</v>
      </c>
      <c r="B61" s="6" t="s">
        <v>92</v>
      </c>
      <c r="C61" s="26" t="n">
        <f aca="false">C53/C54</f>
        <v>0.542427163426279</v>
      </c>
      <c r="D61" s="26" t="n">
        <f aca="false">D53/D54</f>
        <v>0.579734924712515</v>
      </c>
      <c r="E61" s="26" t="n">
        <f aca="false">E53/E54</f>
        <v>0.594147067356871</v>
      </c>
      <c r="F61" s="26" t="n">
        <f aca="false">F53/F54</f>
        <v>0.609784350277013</v>
      </c>
    </row>
    <row r="62" customFormat="false" ht="15" hidden="false" customHeight="false" outlineLevel="0" collapsed="false">
      <c r="A62" s="12" t="s">
        <v>116</v>
      </c>
      <c r="B62" s="6" t="s">
        <v>92</v>
      </c>
      <c r="C62" s="26" t="n">
        <f aca="false">1-L73</f>
        <v>0.4</v>
      </c>
      <c r="D62" s="26" t="n">
        <f aca="false">1-L87</f>
        <v>0.25</v>
      </c>
      <c r="E62" s="26" t="n">
        <f aca="false">1-L101</f>
        <v>0.15</v>
      </c>
      <c r="F62" s="26" t="n">
        <f aca="false">1-L115</f>
        <v>0.25</v>
      </c>
    </row>
    <row r="63" customFormat="false" ht="15" hidden="false" customHeight="false" outlineLevel="0" collapsed="false">
      <c r="A63" s="12" t="s">
        <v>117</v>
      </c>
      <c r="B63" s="6" t="s">
        <v>92</v>
      </c>
      <c r="C63" s="26" t="n">
        <f aca="false">IF(C62&gt;0,$B$28/C62,0)</f>
        <v>0.075</v>
      </c>
      <c r="D63" s="26" t="n">
        <f aca="false">IF(D62&gt;0,$B$28/D62,0)</f>
        <v>0.12</v>
      </c>
      <c r="E63" s="26" t="n">
        <f aca="false">IF(E62&gt;0,$B$28/E62,0)</f>
        <v>0.2</v>
      </c>
      <c r="F63" s="26" t="n">
        <f aca="false">IF(F62&gt;0,$B$28/F62,0)</f>
        <v>0.12</v>
      </c>
    </row>
    <row r="64" customFormat="false" ht="15" hidden="false" customHeight="false" outlineLevel="0" collapsed="false">
      <c r="A64" s="12" t="s">
        <v>118</v>
      </c>
      <c r="B64" s="6" t="s">
        <v>92</v>
      </c>
      <c r="C64" s="26" t="n">
        <f aca="false">(G68/$B$10)^(1/5)-1</f>
        <v>0.054942064536373</v>
      </c>
      <c r="D64" s="26" t="n">
        <f aca="false">(G82/$B$10)^(1/5)-1</f>
        <v>0.118305390416613</v>
      </c>
      <c r="E64" s="26" t="n">
        <f aca="false">(G96/$B$10)^(1/5)-1</f>
        <v>0.154483047584119</v>
      </c>
      <c r="F64" s="26" t="n">
        <f aca="false">(G110/$B$10)^(1/5)-1</f>
        <v>0.187306078765982</v>
      </c>
    </row>
    <row r="65" customFormat="false" ht="15" hidden="false" customHeight="false" outlineLevel="0" collapsed="false">
      <c r="A65" s="8" t="s">
        <v>119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10" t="s">
        <v>120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15" hidden="false" customHeight="false" outlineLevel="0" collapsed="false">
      <c r="A67" s="7" t="s">
        <v>121</v>
      </c>
      <c r="C67" s="38" t="n">
        <v>1</v>
      </c>
      <c r="D67" s="38" t="n">
        <v>2</v>
      </c>
      <c r="E67" s="38" t="n">
        <v>3</v>
      </c>
      <c r="F67" s="38" t="n">
        <v>4</v>
      </c>
      <c r="G67" s="38" t="n">
        <v>5</v>
      </c>
      <c r="H67" s="38" t="n">
        <v>6</v>
      </c>
      <c r="I67" s="38" t="n">
        <v>7</v>
      </c>
      <c r="J67" s="38" t="n">
        <v>8</v>
      </c>
      <c r="K67" s="38" t="n">
        <v>9</v>
      </c>
      <c r="L67" s="38" t="n">
        <v>10</v>
      </c>
    </row>
    <row r="68" customFormat="false" ht="15" hidden="false" customHeight="false" outlineLevel="0" collapsed="false">
      <c r="A68" s="12" t="s">
        <v>122</v>
      </c>
      <c r="C68" s="31" t="n">
        <f aca="false">C$38</f>
        <v>255</v>
      </c>
      <c r="D68" s="31" t="n">
        <f aca="false">C68*(1+D69)</f>
        <v>270.3</v>
      </c>
      <c r="E68" s="31" t="n">
        <f aca="false">D68*(1+E69)</f>
        <v>281.112</v>
      </c>
      <c r="F68" s="31" t="n">
        <f aca="false">E68*(1+F69)</f>
        <v>289.54536</v>
      </c>
      <c r="G68" s="31" t="n">
        <f aca="false">F68*(1+G69)</f>
        <v>298.2317208</v>
      </c>
      <c r="H68" s="31" t="n">
        <f aca="false">G68*(1+H69)</f>
        <v>307.178672424</v>
      </c>
      <c r="I68" s="31" t="n">
        <f aca="false">H68*(1+I69)</f>
        <v>316.39403259672</v>
      </c>
      <c r="J68" s="31" t="n">
        <f aca="false">I68*(1+J69)</f>
        <v>325.885853574622</v>
      </c>
      <c r="K68" s="31" t="n">
        <f aca="false">J68*(1+K69)</f>
        <v>335.66242918186</v>
      </c>
      <c r="L68" s="31" t="n">
        <f aca="false">K68*(1+L69)</f>
        <v>345.732302057316</v>
      </c>
    </row>
    <row r="69" customFormat="false" ht="15" hidden="false" customHeight="false" outlineLevel="0" collapsed="false">
      <c r="A69" s="12" t="s">
        <v>123</v>
      </c>
      <c r="C69" s="26" t="n">
        <f aca="false">C68/$B$10-1</f>
        <v>0.117196056955093</v>
      </c>
      <c r="D69" s="26" t="n">
        <f aca="false">C$39</f>
        <v>0.06</v>
      </c>
      <c r="E69" s="26" t="n">
        <f aca="false">C$40</f>
        <v>0.04</v>
      </c>
      <c r="F69" s="26" t="n">
        <f aca="false">C$41</f>
        <v>0.03</v>
      </c>
      <c r="G69" s="26" t="n">
        <f aca="false">C$42</f>
        <v>0.03</v>
      </c>
      <c r="H69" s="26" t="n">
        <f aca="false">G69+($B$29-$G69)/5</f>
        <v>0.03</v>
      </c>
      <c r="I69" s="26" t="n">
        <f aca="false">H69+($B$29-$G69)/5</f>
        <v>0.03</v>
      </c>
      <c r="J69" s="26" t="n">
        <f aca="false">I69+($B$29-$G69)/5</f>
        <v>0.03</v>
      </c>
      <c r="K69" s="26" t="n">
        <f aca="false">J69+($B$29-$G69)/5</f>
        <v>0.03</v>
      </c>
      <c r="L69" s="26" t="n">
        <f aca="false">K69+($B$29-$G69)/5</f>
        <v>0.03</v>
      </c>
    </row>
    <row r="70" customFormat="false" ht="15" hidden="false" customHeight="false" outlineLevel="0" collapsed="false">
      <c r="A70" s="12" t="s">
        <v>124</v>
      </c>
      <c r="C70" s="26" t="n">
        <f aca="false">C$43+(C$44-C$43)*MIN(C$67-1,4)/4</f>
        <v>0.3</v>
      </c>
      <c r="D70" s="26" t="n">
        <f aca="false">C$43+(C$44-C$43)*MIN(D$67-1,4)/4</f>
        <v>0.295</v>
      </c>
      <c r="E70" s="26" t="n">
        <f aca="false">C$43+(C$44-C$43)*MIN(E$67-1,4)/4</f>
        <v>0.29</v>
      </c>
      <c r="F70" s="26" t="n">
        <f aca="false">C$43+(C$44-C$43)*MIN(F$67-1,4)/4</f>
        <v>0.285</v>
      </c>
      <c r="G70" s="26" t="n">
        <f aca="false">C$43+(C$44-C$43)*MIN(G$67-1,4)/4</f>
        <v>0.28</v>
      </c>
      <c r="H70" s="26" t="n">
        <f aca="false">C$43+(C$44-C$43)*MIN(H$67-1,4)/4</f>
        <v>0.28</v>
      </c>
      <c r="I70" s="26" t="n">
        <f aca="false">C$43+(C$44-C$43)*MIN(I$67-1,4)/4</f>
        <v>0.28</v>
      </c>
      <c r="J70" s="26" t="n">
        <f aca="false">C$43+(C$44-C$43)*MIN(J$67-1,4)/4</f>
        <v>0.28</v>
      </c>
      <c r="K70" s="26" t="n">
        <f aca="false">C$43+(C$44-C$43)*MIN(K$67-1,4)/4</f>
        <v>0.28</v>
      </c>
      <c r="L70" s="26" t="n">
        <f aca="false">C$43+(C$44-C$43)*MIN(L$67-1,4)/4</f>
        <v>0.28</v>
      </c>
    </row>
    <row r="71" customFormat="false" ht="15" hidden="false" customHeight="false" outlineLevel="0" collapsed="false">
      <c r="A71" s="12" t="s">
        <v>125</v>
      </c>
      <c r="C71" s="31" t="n">
        <f aca="false">C68*C70</f>
        <v>76.5</v>
      </c>
      <c r="D71" s="31" t="n">
        <f aca="false">D68*D70</f>
        <v>79.7385</v>
      </c>
      <c r="E71" s="31" t="n">
        <f aca="false">E68*E70</f>
        <v>81.52248</v>
      </c>
      <c r="F71" s="31" t="n">
        <f aca="false">F68*F70</f>
        <v>82.5204276</v>
      </c>
      <c r="G71" s="31" t="n">
        <f aca="false">G68*G70</f>
        <v>83.504881824</v>
      </c>
      <c r="H71" s="31" t="n">
        <f aca="false">H68*H70</f>
        <v>86.01002827872</v>
      </c>
      <c r="I71" s="31" t="n">
        <f aca="false">I68*I70</f>
        <v>88.5903291270816</v>
      </c>
      <c r="J71" s="31" t="n">
        <f aca="false">J68*J70</f>
        <v>91.2480390008941</v>
      </c>
      <c r="K71" s="31" t="n">
        <f aca="false">K68*K70</f>
        <v>93.9854801709209</v>
      </c>
      <c r="L71" s="31" t="n">
        <f aca="false">L68*L70</f>
        <v>96.8050445760485</v>
      </c>
    </row>
    <row r="72" customFormat="false" ht="15" hidden="false" customHeight="false" outlineLevel="0" collapsed="false">
      <c r="A72" s="12" t="s">
        <v>126</v>
      </c>
      <c r="C72" s="31" t="n">
        <f aca="false">C71*(1-$B$11)</f>
        <v>65.025</v>
      </c>
      <c r="D72" s="31" t="n">
        <f aca="false">D71*(1-$B$11)</f>
        <v>67.777725</v>
      </c>
      <c r="E72" s="31" t="n">
        <f aca="false">E71*(1-$B$11)</f>
        <v>69.294108</v>
      </c>
      <c r="F72" s="31" t="n">
        <f aca="false">F71*(1-$B$11)</f>
        <v>70.14236346</v>
      </c>
      <c r="G72" s="31" t="n">
        <f aca="false">G71*(1-$B$11)</f>
        <v>70.9791495504</v>
      </c>
      <c r="H72" s="31" t="n">
        <f aca="false">H71*(1-$B$11)</f>
        <v>73.108524036912</v>
      </c>
      <c r="I72" s="31" t="n">
        <f aca="false">I71*(1-$B$11)</f>
        <v>75.3017797580194</v>
      </c>
      <c r="J72" s="31" t="n">
        <f aca="false">J71*(1-$B$11)</f>
        <v>77.56083315076</v>
      </c>
      <c r="K72" s="31" t="n">
        <f aca="false">K71*(1-$B$11)</f>
        <v>79.8876581452828</v>
      </c>
      <c r="L72" s="31" t="n">
        <f aca="false">L71*(1-$B$11)</f>
        <v>82.2842878896413</v>
      </c>
    </row>
    <row r="73" customFormat="false" ht="15" hidden="false" customHeight="false" outlineLevel="0" collapsed="false">
      <c r="A73" s="12" t="s">
        <v>127</v>
      </c>
      <c r="C73" s="26" t="n">
        <f aca="false">C$45+(C$46-C$45)*MIN(C$67-1,4)/4</f>
        <v>0.45</v>
      </c>
      <c r="D73" s="26" t="n">
        <f aca="false">C$45+(C$46-C$45)*MIN(D$67-1,4)/4</f>
        <v>0.4875</v>
      </c>
      <c r="E73" s="26" t="n">
        <f aca="false">C$45+(C$46-C$45)*MIN(E$67-1,4)/4</f>
        <v>0.525</v>
      </c>
      <c r="F73" s="26" t="n">
        <f aca="false">C$45+(C$46-C$45)*MIN(F$67-1,4)/4</f>
        <v>0.5625</v>
      </c>
      <c r="G73" s="26" t="n">
        <f aca="false">C$45+(C$46-C$45)*MIN(G$67-1,4)/4</f>
        <v>0.6</v>
      </c>
      <c r="H73" s="26" t="n">
        <f aca="false">C$45+(C$46-C$45)*MIN(H$67-1,4)/4</f>
        <v>0.6</v>
      </c>
      <c r="I73" s="26" t="n">
        <f aca="false">C$45+(C$46-C$45)*MIN(I$67-1,4)/4</f>
        <v>0.6</v>
      </c>
      <c r="J73" s="26" t="n">
        <f aca="false">C$45+(C$46-C$45)*MIN(J$67-1,4)/4</f>
        <v>0.6</v>
      </c>
      <c r="K73" s="26" t="n">
        <f aca="false">C$45+(C$46-C$45)*MIN(K$67-1,4)/4</f>
        <v>0.6</v>
      </c>
      <c r="L73" s="26" t="n">
        <f aca="false">C$45+(C$46-C$45)*MIN(L$67-1,4)/4</f>
        <v>0.6</v>
      </c>
    </row>
    <row r="74" customFormat="false" ht="15" hidden="false" customHeight="false" outlineLevel="0" collapsed="false">
      <c r="A74" s="12" t="s">
        <v>128</v>
      </c>
      <c r="C74" s="31" t="n">
        <f aca="false">C72*(1-C73)</f>
        <v>35.76375</v>
      </c>
      <c r="D74" s="31" t="n">
        <f aca="false">D72*(1-D73)</f>
        <v>34.7360840625</v>
      </c>
      <c r="E74" s="31" t="n">
        <f aca="false">E72*(1-E73)</f>
        <v>32.9147013</v>
      </c>
      <c r="F74" s="31" t="n">
        <f aca="false">F72*(1-F73)</f>
        <v>30.68728401375</v>
      </c>
      <c r="G74" s="31" t="n">
        <f aca="false">G72*(1-G73)</f>
        <v>28.39165982016</v>
      </c>
      <c r="H74" s="31" t="n">
        <f aca="false">H72*(1-H73)</f>
        <v>29.2434096147648</v>
      </c>
      <c r="I74" s="31" t="n">
        <f aca="false">I72*(1-I73)</f>
        <v>30.1207119032078</v>
      </c>
      <c r="J74" s="31" t="n">
        <f aca="false">J72*(1-J73)</f>
        <v>31.024333260304</v>
      </c>
      <c r="K74" s="31" t="n">
        <f aca="false">K72*(1-K73)</f>
        <v>31.9550632581131</v>
      </c>
      <c r="L74" s="31" t="n">
        <f aca="false">L72*(1-L73)</f>
        <v>32.9137151558565</v>
      </c>
    </row>
    <row r="75" customFormat="false" ht="15" hidden="false" customHeight="false" outlineLevel="0" collapsed="false">
      <c r="A75" s="7" t="s">
        <v>129</v>
      </c>
      <c r="C75" s="39" t="n">
        <f aca="false">C72-C74</f>
        <v>29.26125</v>
      </c>
      <c r="D75" s="39" t="n">
        <f aca="false">D72-D74</f>
        <v>33.0416409375</v>
      </c>
      <c r="E75" s="39" t="n">
        <f aca="false">E72-E74</f>
        <v>36.3794067</v>
      </c>
      <c r="F75" s="39" t="n">
        <f aca="false">F72-F74</f>
        <v>39.45507944625</v>
      </c>
      <c r="G75" s="39" t="n">
        <f aca="false">G72-G74</f>
        <v>42.58748973024</v>
      </c>
      <c r="H75" s="39" t="n">
        <f aca="false">H72-H74</f>
        <v>43.8651144221472</v>
      </c>
      <c r="I75" s="39" t="n">
        <f aca="false">I72-I74</f>
        <v>45.1810678548116</v>
      </c>
      <c r="J75" s="39" t="n">
        <f aca="false">J72-J74</f>
        <v>46.536499890456</v>
      </c>
      <c r="K75" s="39" t="n">
        <f aca="false">K72-K74</f>
        <v>47.9325948871697</v>
      </c>
      <c r="L75" s="39" t="n">
        <f aca="false">L72-L74</f>
        <v>49.3705727337848</v>
      </c>
    </row>
    <row r="76" customFormat="false" ht="15" hidden="false" customHeight="false" outlineLevel="0" collapsed="false">
      <c r="A76" s="12" t="s">
        <v>130</v>
      </c>
      <c r="C76" s="40" t="n">
        <f aca="false">1/(1+$B$27)^C$67</f>
        <v>0.910443253119762</v>
      </c>
      <c r="D76" s="40" t="n">
        <f aca="false">1/(1+$B$27)^D$67</f>
        <v>0.828906917151295</v>
      </c>
      <c r="E76" s="40" t="n">
        <f aca="false">1/(1+$B$27)^E$67</f>
        <v>0.754672710184699</v>
      </c>
      <c r="F76" s="40" t="n">
        <f aca="false">1/(1+$B$27)^F$67</f>
        <v>0.687086677301264</v>
      </c>
      <c r="G76" s="40" t="n">
        <f aca="false">1/(1+$B$27)^G$67</f>
        <v>0.625553429657411</v>
      </c>
      <c r="H76" s="40" t="n">
        <f aca="false">1/(1+$B$27)^H$67</f>
        <v>0.569530899497518</v>
      </c>
      <c r="I76" s="40" t="n">
        <f aca="false">1/(1+$B$27)^I$67</f>
        <v>0.518525564890744</v>
      </c>
      <c r="J76" s="40" t="n">
        <f aca="false">1/(1+$B$27)^J$67</f>
        <v>0.472088102124892</v>
      </c>
      <c r="K76" s="40" t="n">
        <f aca="false">1/(1+$B$27)^K$67</f>
        <v>0.429809427457721</v>
      </c>
      <c r="L76" s="40" t="n">
        <f aca="false">1/(1+$B$27)^L$67</f>
        <v>0.39131709335615</v>
      </c>
    </row>
    <row r="77" customFormat="false" ht="15" hidden="false" customHeight="false" outlineLevel="0" collapsed="false">
      <c r="A77" s="12" t="s">
        <v>131</v>
      </c>
      <c r="C77" s="31" t="n">
        <f aca="false">C75*C76</f>
        <v>26.6407076403506</v>
      </c>
      <c r="D77" s="31" t="n">
        <f aca="false">D75*D76</f>
        <v>27.3884447271232</v>
      </c>
      <c r="E77" s="31" t="n">
        <f aca="false">E75*E76</f>
        <v>27.4545454492004</v>
      </c>
      <c r="F77" s="31" t="n">
        <f aca="false">F75*F76</f>
        <v>27.1090594393813</v>
      </c>
      <c r="G77" s="31" t="n">
        <f aca="false">G75*G76</f>
        <v>26.6407502612514</v>
      </c>
      <c r="H77" s="31" t="n">
        <f aca="false">H75*H76</f>
        <v>24.982538073407</v>
      </c>
      <c r="I77" s="31" t="n">
        <f aca="false">I75*I76</f>
        <v>23.4275387317833</v>
      </c>
      <c r="J77" s="31" t="n">
        <f aca="false">J75*J76</f>
        <v>21.9693279128206</v>
      </c>
      <c r="K77" s="31" t="n">
        <f aca="false">K75*K76</f>
        <v>20.6018811650173</v>
      </c>
      <c r="L77" s="31" t="n">
        <f aca="false">L75*L76</f>
        <v>19.319549019513</v>
      </c>
    </row>
    <row r="80" customFormat="false" ht="15" hidden="false" customHeight="false" outlineLevel="0" collapsed="false">
      <c r="A80" s="10" t="s">
        <v>132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customFormat="false" ht="15" hidden="false" customHeight="false" outlineLevel="0" collapsed="false">
      <c r="A81" s="7" t="s">
        <v>121</v>
      </c>
      <c r="C81" s="38" t="n">
        <v>1</v>
      </c>
      <c r="D81" s="38" t="n">
        <v>2</v>
      </c>
      <c r="E81" s="38" t="n">
        <v>3</v>
      </c>
      <c r="F81" s="38" t="n">
        <v>4</v>
      </c>
      <c r="G81" s="38" t="n">
        <v>5</v>
      </c>
      <c r="H81" s="38" t="n">
        <v>6</v>
      </c>
      <c r="I81" s="38" t="n">
        <v>7</v>
      </c>
      <c r="J81" s="38" t="n">
        <v>8</v>
      </c>
      <c r="K81" s="38" t="n">
        <v>9</v>
      </c>
      <c r="L81" s="38" t="n">
        <v>10</v>
      </c>
    </row>
    <row r="82" customFormat="false" ht="15" hidden="false" customHeight="false" outlineLevel="0" collapsed="false">
      <c r="A82" s="12" t="s">
        <v>122</v>
      </c>
      <c r="C82" s="31" t="n">
        <f aca="false">D$38</f>
        <v>268</v>
      </c>
      <c r="D82" s="31" t="n">
        <f aca="false">C82*(1+D83)</f>
        <v>305.52</v>
      </c>
      <c r="E82" s="31" t="n">
        <f aca="false">D82*(1+E83)</f>
        <v>339.1272</v>
      </c>
      <c r="F82" s="31" t="n">
        <f aca="false">E82*(1+F83)</f>
        <v>369.648648</v>
      </c>
      <c r="G82" s="31" t="n">
        <f aca="false">F82*(1+G83)</f>
        <v>399.22053984</v>
      </c>
      <c r="H82" s="31" t="n">
        <f aca="false">G82*(1+H83)</f>
        <v>427.1659776288</v>
      </c>
      <c r="I82" s="31" t="n">
        <f aca="false">H82*(1+I83)</f>
        <v>452.795936286528</v>
      </c>
      <c r="J82" s="31" t="n">
        <f aca="false">I82*(1+J83)</f>
        <v>475.435733100855</v>
      </c>
      <c r="K82" s="31" t="n">
        <f aca="false">J82*(1+K83)</f>
        <v>494.453162424889</v>
      </c>
      <c r="L82" s="31" t="n">
        <f aca="false">K82*(1+L83)</f>
        <v>509.286757297635</v>
      </c>
    </row>
    <row r="83" customFormat="false" ht="15" hidden="false" customHeight="false" outlineLevel="0" collapsed="false">
      <c r="A83" s="12" t="s">
        <v>123</v>
      </c>
      <c r="C83" s="26" t="n">
        <f aca="false">C82/$B$10-1</f>
        <v>0.174151150054765</v>
      </c>
      <c r="D83" s="26" t="n">
        <f aca="false">D$39</f>
        <v>0.14</v>
      </c>
      <c r="E83" s="26" t="n">
        <f aca="false">D$40</f>
        <v>0.11</v>
      </c>
      <c r="F83" s="26" t="n">
        <f aca="false">D$41</f>
        <v>0.09</v>
      </c>
      <c r="G83" s="26" t="n">
        <f aca="false">D$42</f>
        <v>0.08</v>
      </c>
      <c r="H83" s="26" t="n">
        <f aca="false">G83+($B$29-$G83)/5</f>
        <v>0.07</v>
      </c>
      <c r="I83" s="26" t="n">
        <f aca="false">H83+($B$29-$G83)/5</f>
        <v>0.06</v>
      </c>
      <c r="J83" s="26" t="n">
        <f aca="false">I83+($B$29-$G83)/5</f>
        <v>0.05</v>
      </c>
      <c r="K83" s="26" t="n">
        <f aca="false">J83+($B$29-$G83)/5</f>
        <v>0.04</v>
      </c>
      <c r="L83" s="26" t="n">
        <f aca="false">K83+($B$29-$G83)/5</f>
        <v>0.03</v>
      </c>
    </row>
    <row r="84" customFormat="false" ht="15" hidden="false" customHeight="false" outlineLevel="0" collapsed="false">
      <c r="A84" s="12" t="s">
        <v>124</v>
      </c>
      <c r="C84" s="26" t="n">
        <f aca="false">D$43+(D$44-D$43)*MIN(C$81-1,4)/4</f>
        <v>0.34</v>
      </c>
      <c r="D84" s="26" t="n">
        <f aca="false">D$43+(D$44-D$43)*MIN(D$81-1,4)/4</f>
        <v>0.345</v>
      </c>
      <c r="E84" s="26" t="n">
        <f aca="false">D$43+(D$44-D$43)*MIN(E$81-1,4)/4</f>
        <v>0.35</v>
      </c>
      <c r="F84" s="26" t="n">
        <f aca="false">D$43+(D$44-D$43)*MIN(F$81-1,4)/4</f>
        <v>0.355</v>
      </c>
      <c r="G84" s="26" t="n">
        <f aca="false">D$43+(D$44-D$43)*MIN(G$81-1,4)/4</f>
        <v>0.36</v>
      </c>
      <c r="H84" s="26" t="n">
        <f aca="false">D$43+(D$44-D$43)*MIN(H$81-1,4)/4</f>
        <v>0.36</v>
      </c>
      <c r="I84" s="26" t="n">
        <f aca="false">D$43+(D$44-D$43)*MIN(I$81-1,4)/4</f>
        <v>0.36</v>
      </c>
      <c r="J84" s="26" t="n">
        <f aca="false">D$43+(D$44-D$43)*MIN(J$81-1,4)/4</f>
        <v>0.36</v>
      </c>
      <c r="K84" s="26" t="n">
        <f aca="false">D$43+(D$44-D$43)*MIN(K$81-1,4)/4</f>
        <v>0.36</v>
      </c>
      <c r="L84" s="26" t="n">
        <f aca="false">D$43+(D$44-D$43)*MIN(L$81-1,4)/4</f>
        <v>0.36</v>
      </c>
    </row>
    <row r="85" customFormat="false" ht="15" hidden="false" customHeight="false" outlineLevel="0" collapsed="false">
      <c r="A85" s="12" t="s">
        <v>125</v>
      </c>
      <c r="C85" s="31" t="n">
        <f aca="false">C82*C84</f>
        <v>91.12</v>
      </c>
      <c r="D85" s="31" t="n">
        <f aca="false">D82*D84</f>
        <v>105.4044</v>
      </c>
      <c r="E85" s="31" t="n">
        <f aca="false">E82*E84</f>
        <v>118.69452</v>
      </c>
      <c r="F85" s="31" t="n">
        <f aca="false">F82*F84</f>
        <v>131.22527004</v>
      </c>
      <c r="G85" s="31" t="n">
        <f aca="false">G82*G84</f>
        <v>143.7193943424</v>
      </c>
      <c r="H85" s="31" t="n">
        <f aca="false">H82*H84</f>
        <v>153.779751946368</v>
      </c>
      <c r="I85" s="31" t="n">
        <f aca="false">I82*I84</f>
        <v>163.00653706315</v>
      </c>
      <c r="J85" s="31" t="n">
        <f aca="false">J82*J84</f>
        <v>171.156863916308</v>
      </c>
      <c r="K85" s="31" t="n">
        <f aca="false">K82*K84</f>
        <v>178.00313847296</v>
      </c>
      <c r="L85" s="31" t="n">
        <f aca="false">L82*L84</f>
        <v>183.343232627149</v>
      </c>
    </row>
    <row r="86" customFormat="false" ht="15" hidden="false" customHeight="false" outlineLevel="0" collapsed="false">
      <c r="A86" s="12" t="s">
        <v>126</v>
      </c>
      <c r="C86" s="31" t="n">
        <f aca="false">C85*(1-$B$11)</f>
        <v>77.452</v>
      </c>
      <c r="D86" s="31" t="n">
        <f aca="false">D85*(1-$B$11)</f>
        <v>89.59374</v>
      </c>
      <c r="E86" s="31" t="n">
        <f aca="false">E85*(1-$B$11)</f>
        <v>100.890342</v>
      </c>
      <c r="F86" s="31" t="n">
        <f aca="false">F85*(1-$B$11)</f>
        <v>111.541479534</v>
      </c>
      <c r="G86" s="31" t="n">
        <f aca="false">G85*(1-$B$11)</f>
        <v>122.16148519104</v>
      </c>
      <c r="H86" s="31" t="n">
        <f aca="false">H85*(1-$B$11)</f>
        <v>130.712789154413</v>
      </c>
      <c r="I86" s="31" t="n">
        <f aca="false">I85*(1-$B$11)</f>
        <v>138.555556503678</v>
      </c>
      <c r="J86" s="31" t="n">
        <f aca="false">J85*(1-$B$11)</f>
        <v>145.483334328861</v>
      </c>
      <c r="K86" s="31" t="n">
        <f aca="false">K85*(1-$B$11)</f>
        <v>151.302667702016</v>
      </c>
      <c r="L86" s="31" t="n">
        <f aca="false">L85*(1-$B$11)</f>
        <v>155.841747733076</v>
      </c>
    </row>
    <row r="87" customFormat="false" ht="15" hidden="false" customHeight="false" outlineLevel="0" collapsed="false">
      <c r="A87" s="12" t="s">
        <v>127</v>
      </c>
      <c r="C87" s="26" t="n">
        <f aca="false">D$45+(D$46-D$45)*MIN(C$81-1,4)/4</f>
        <v>0.55</v>
      </c>
      <c r="D87" s="26" t="n">
        <f aca="false">D$45+(D$46-D$45)*MIN(D$81-1,4)/4</f>
        <v>0.6</v>
      </c>
      <c r="E87" s="26" t="n">
        <f aca="false">D$45+(D$46-D$45)*MIN(E$81-1,4)/4</f>
        <v>0.65</v>
      </c>
      <c r="F87" s="26" t="n">
        <f aca="false">D$45+(D$46-D$45)*MIN(F$81-1,4)/4</f>
        <v>0.7</v>
      </c>
      <c r="G87" s="26" t="n">
        <f aca="false">D$45+(D$46-D$45)*MIN(G$81-1,4)/4</f>
        <v>0.75</v>
      </c>
      <c r="H87" s="26" t="n">
        <f aca="false">D$45+(D$46-D$45)*MIN(H$81-1,4)/4</f>
        <v>0.75</v>
      </c>
      <c r="I87" s="26" t="n">
        <f aca="false">D$45+(D$46-D$45)*MIN(I$81-1,4)/4</f>
        <v>0.75</v>
      </c>
      <c r="J87" s="26" t="n">
        <f aca="false">D$45+(D$46-D$45)*MIN(J$81-1,4)/4</f>
        <v>0.75</v>
      </c>
      <c r="K87" s="26" t="n">
        <f aca="false">D$45+(D$46-D$45)*MIN(K$81-1,4)/4</f>
        <v>0.75</v>
      </c>
      <c r="L87" s="26" t="n">
        <f aca="false">D$45+(D$46-D$45)*MIN(L$81-1,4)/4</f>
        <v>0.75</v>
      </c>
    </row>
    <row r="88" customFormat="false" ht="15" hidden="false" customHeight="false" outlineLevel="0" collapsed="false">
      <c r="A88" s="12" t="s">
        <v>128</v>
      </c>
      <c r="C88" s="31" t="n">
        <f aca="false">C86*(1-C87)</f>
        <v>34.8534</v>
      </c>
      <c r="D88" s="31" t="n">
        <f aca="false">D86*(1-D87)</f>
        <v>35.837496</v>
      </c>
      <c r="E88" s="31" t="n">
        <f aca="false">E86*(1-E87)</f>
        <v>35.3116197</v>
      </c>
      <c r="F88" s="31" t="n">
        <f aca="false">F86*(1-F87)</f>
        <v>33.4624438602</v>
      </c>
      <c r="G88" s="31" t="n">
        <f aca="false">G86*(1-G87)</f>
        <v>30.54037129776</v>
      </c>
      <c r="H88" s="31" t="n">
        <f aca="false">H86*(1-H87)</f>
        <v>32.6781972886032</v>
      </c>
      <c r="I88" s="31" t="n">
        <f aca="false">I86*(1-I87)</f>
        <v>34.6388891259194</v>
      </c>
      <c r="J88" s="31" t="n">
        <f aca="false">J86*(1-J87)</f>
        <v>36.3708335822154</v>
      </c>
      <c r="K88" s="31" t="n">
        <f aca="false">K86*(1-K87)</f>
        <v>37.825666925504</v>
      </c>
      <c r="L88" s="31" t="n">
        <f aca="false">L86*(1-L87)</f>
        <v>38.9604369332691</v>
      </c>
    </row>
    <row r="89" customFormat="false" ht="15" hidden="false" customHeight="false" outlineLevel="0" collapsed="false">
      <c r="A89" s="7" t="s">
        <v>129</v>
      </c>
      <c r="C89" s="39" t="n">
        <f aca="false">C86-C88</f>
        <v>42.5986</v>
      </c>
      <c r="D89" s="39" t="n">
        <f aca="false">D86-D88</f>
        <v>53.756244</v>
      </c>
      <c r="E89" s="39" t="n">
        <f aca="false">E86-E88</f>
        <v>65.5787223</v>
      </c>
      <c r="F89" s="39" t="n">
        <f aca="false">F86-F88</f>
        <v>78.0790356738</v>
      </c>
      <c r="G89" s="39" t="n">
        <f aca="false">G86-G88</f>
        <v>91.62111389328</v>
      </c>
      <c r="H89" s="39" t="n">
        <f aca="false">H86-H88</f>
        <v>98.0345918658096</v>
      </c>
      <c r="I89" s="39" t="n">
        <f aca="false">I86-I88</f>
        <v>103.916667377758</v>
      </c>
      <c r="J89" s="39" t="n">
        <f aca="false">J86-J88</f>
        <v>109.112500746646</v>
      </c>
      <c r="K89" s="39" t="n">
        <f aca="false">K86-K88</f>
        <v>113.477000776512</v>
      </c>
      <c r="L89" s="39" t="n">
        <f aca="false">L86-L88</f>
        <v>116.881310799807</v>
      </c>
    </row>
    <row r="90" customFormat="false" ht="15" hidden="false" customHeight="false" outlineLevel="0" collapsed="false">
      <c r="A90" s="12" t="s">
        <v>130</v>
      </c>
      <c r="C90" s="40" t="n">
        <f aca="false">1/(1+$B$27)^C$81</f>
        <v>0.910443253119762</v>
      </c>
      <c r="D90" s="40" t="n">
        <f aca="false">1/(1+$B$27)^D$81</f>
        <v>0.828906917151295</v>
      </c>
      <c r="E90" s="40" t="n">
        <f aca="false">1/(1+$B$27)^E$81</f>
        <v>0.754672710184699</v>
      </c>
      <c r="F90" s="40" t="n">
        <f aca="false">1/(1+$B$27)^F$81</f>
        <v>0.687086677301264</v>
      </c>
      <c r="G90" s="40" t="n">
        <f aca="false">1/(1+$B$27)^G$81</f>
        <v>0.625553429657411</v>
      </c>
      <c r="H90" s="40" t="n">
        <f aca="false">1/(1+$B$27)^H$81</f>
        <v>0.569530899497518</v>
      </c>
      <c r="I90" s="40" t="n">
        <f aca="false">1/(1+$B$27)^I$81</f>
        <v>0.518525564890744</v>
      </c>
      <c r="J90" s="40" t="n">
        <f aca="false">1/(1+$B$27)^J$81</f>
        <v>0.472088102124892</v>
      </c>
      <c r="K90" s="40" t="n">
        <f aca="false">1/(1+$B$27)^K$81</f>
        <v>0.429809427457721</v>
      </c>
      <c r="L90" s="40" t="n">
        <f aca="false">1/(1+$B$27)^L$81</f>
        <v>0.39131709335615</v>
      </c>
    </row>
    <row r="91" customFormat="false" ht="15" hidden="false" customHeight="false" outlineLevel="0" collapsed="false">
      <c r="A91" s="12" t="s">
        <v>131</v>
      </c>
      <c r="C91" s="31" t="n">
        <f aca="false">C89*C90</f>
        <v>38.7836079623475</v>
      </c>
      <c r="D91" s="31" t="n">
        <f aca="false">D89*D90</f>
        <v>44.5589224916728</v>
      </c>
      <c r="E91" s="31" t="n">
        <f aca="false">E89*E90</f>
        <v>49.4904720885907</v>
      </c>
      <c r="F91" s="31" t="n">
        <f aca="false">F89*F90</f>
        <v>53.6470651879981</v>
      </c>
      <c r="G91" s="31" t="n">
        <f aca="false">G89*G90</f>
        <v>57.3139020249736</v>
      </c>
      <c r="H91" s="31" t="n">
        <f aca="false">H89*H90</f>
        <v>55.8337292872066</v>
      </c>
      <c r="I91" s="31" t="n">
        <f aca="false">I89*I90</f>
        <v>53.8834486536157</v>
      </c>
      <c r="J91" s="31" t="n">
        <f aca="false">J89*J90</f>
        <v>51.510713395585</v>
      </c>
      <c r="K91" s="31" t="n">
        <f aca="false">K89*K90</f>
        <v>48.773484733372</v>
      </c>
      <c r="L91" s="31" t="n">
        <f aca="false">L89*L90</f>
        <v>45.7376548098374</v>
      </c>
    </row>
    <row r="94" customFormat="false" ht="15" hidden="false" customHeight="false" outlineLevel="0" collapsed="false">
      <c r="A94" s="10" t="s">
        <v>133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" hidden="false" customHeight="false" outlineLevel="0" collapsed="false">
      <c r="A95" s="7" t="s">
        <v>121</v>
      </c>
      <c r="C95" s="38" t="n">
        <v>1</v>
      </c>
      <c r="D95" s="38" t="n">
        <v>2</v>
      </c>
      <c r="E95" s="38" t="n">
        <v>3</v>
      </c>
      <c r="F95" s="38" t="n">
        <v>4</v>
      </c>
      <c r="G95" s="38" t="n">
        <v>5</v>
      </c>
      <c r="H95" s="38" t="n">
        <v>6</v>
      </c>
      <c r="I95" s="38" t="n">
        <v>7</v>
      </c>
      <c r="J95" s="38" t="n">
        <v>8</v>
      </c>
      <c r="K95" s="38" t="n">
        <v>9</v>
      </c>
      <c r="L95" s="38" t="n">
        <v>10</v>
      </c>
    </row>
    <row r="96" customFormat="false" ht="15" hidden="false" customHeight="false" outlineLevel="0" collapsed="false">
      <c r="A96" s="12" t="s">
        <v>122</v>
      </c>
      <c r="C96" s="31" t="n">
        <f aca="false">E$38</f>
        <v>280</v>
      </c>
      <c r="D96" s="31" t="n">
        <f aca="false">C96*(1+D97)</f>
        <v>330.4</v>
      </c>
      <c r="E96" s="31" t="n">
        <f aca="false">D96*(1+E97)</f>
        <v>379.96</v>
      </c>
      <c r="F96" s="31" t="n">
        <f aca="false">E96*(1+F97)</f>
        <v>425.5552</v>
      </c>
      <c r="G96" s="31" t="n">
        <f aca="false">F96*(1+G97)</f>
        <v>468.11072</v>
      </c>
      <c r="H96" s="31" t="n">
        <f aca="false">G96*(1+H97)</f>
        <v>508.36824192</v>
      </c>
      <c r="I96" s="31" t="n">
        <f aca="false">H96*(1+I97)</f>
        <v>544.97075533824</v>
      </c>
      <c r="J96" s="31" t="n">
        <f aca="false">I96*(1+J97)</f>
        <v>576.579059147858</v>
      </c>
      <c r="K96" s="31" t="n">
        <f aca="false">J96*(1+K97)</f>
        <v>601.948537750364</v>
      </c>
      <c r="L96" s="31" t="n">
        <f aca="false">K96*(1+L97)</f>
        <v>620.006993882875</v>
      </c>
    </row>
    <row r="97" customFormat="false" ht="15" hidden="false" customHeight="false" outlineLevel="0" collapsed="false">
      <c r="A97" s="12" t="s">
        <v>123</v>
      </c>
      <c r="C97" s="26" t="n">
        <f aca="false">C96/$B$10-1</f>
        <v>0.226725082146769</v>
      </c>
      <c r="D97" s="26" t="n">
        <f aca="false">E$39</f>
        <v>0.18</v>
      </c>
      <c r="E97" s="26" t="n">
        <f aca="false">E$40</f>
        <v>0.15</v>
      </c>
      <c r="F97" s="26" t="n">
        <f aca="false">E$41</f>
        <v>0.12</v>
      </c>
      <c r="G97" s="26" t="n">
        <f aca="false">E$42</f>
        <v>0.1</v>
      </c>
      <c r="H97" s="26" t="n">
        <f aca="false">G97+($B$29-$G97)/5</f>
        <v>0.086</v>
      </c>
      <c r="I97" s="26" t="n">
        <f aca="false">H97+($B$29-$G97)/5</f>
        <v>0.072</v>
      </c>
      <c r="J97" s="26" t="n">
        <f aca="false">I97+($B$29-$G97)/5</f>
        <v>0.058</v>
      </c>
      <c r="K97" s="26" t="n">
        <f aca="false">J97+($B$29-$G97)/5</f>
        <v>0.044</v>
      </c>
      <c r="L97" s="26" t="n">
        <f aca="false">K97+($B$29-$G97)/5</f>
        <v>0.03</v>
      </c>
    </row>
    <row r="98" customFormat="false" ht="15" hidden="false" customHeight="false" outlineLevel="0" collapsed="false">
      <c r="A98" s="12" t="s">
        <v>124</v>
      </c>
      <c r="C98" s="26" t="n">
        <f aca="false">E$43+(E$44-E$43)*MIN(C$95-1,4)/4</f>
        <v>0.38</v>
      </c>
      <c r="D98" s="26" t="n">
        <f aca="false">E$43+(E$44-E$43)*MIN(D$95-1,4)/4</f>
        <v>0.39</v>
      </c>
      <c r="E98" s="26" t="n">
        <f aca="false">E$43+(E$44-E$43)*MIN(E$95-1,4)/4</f>
        <v>0.4</v>
      </c>
      <c r="F98" s="26" t="n">
        <f aca="false">E$43+(E$44-E$43)*MIN(F$95-1,4)/4</f>
        <v>0.41</v>
      </c>
      <c r="G98" s="26" t="n">
        <f aca="false">E$43+(E$44-E$43)*MIN(G$95-1,4)/4</f>
        <v>0.42</v>
      </c>
      <c r="H98" s="26" t="n">
        <f aca="false">E$43+(E$44-E$43)*MIN(H$95-1,4)/4</f>
        <v>0.42</v>
      </c>
      <c r="I98" s="26" t="n">
        <f aca="false">E$43+(E$44-E$43)*MIN(I$95-1,4)/4</f>
        <v>0.42</v>
      </c>
      <c r="J98" s="26" t="n">
        <f aca="false">E$43+(E$44-E$43)*MIN(J$95-1,4)/4</f>
        <v>0.42</v>
      </c>
      <c r="K98" s="26" t="n">
        <f aca="false">E$43+(E$44-E$43)*MIN(K$95-1,4)/4</f>
        <v>0.42</v>
      </c>
      <c r="L98" s="26" t="n">
        <f aca="false">E$43+(E$44-E$43)*MIN(L$95-1,4)/4</f>
        <v>0.42</v>
      </c>
    </row>
    <row r="99" customFormat="false" ht="15" hidden="false" customHeight="false" outlineLevel="0" collapsed="false">
      <c r="A99" s="12" t="s">
        <v>125</v>
      </c>
      <c r="C99" s="31" t="n">
        <f aca="false">C96*C98</f>
        <v>106.4</v>
      </c>
      <c r="D99" s="31" t="n">
        <f aca="false">D96*D98</f>
        <v>128.856</v>
      </c>
      <c r="E99" s="31" t="n">
        <f aca="false">E96*E98</f>
        <v>151.984</v>
      </c>
      <c r="F99" s="31" t="n">
        <f aca="false">F96*F98</f>
        <v>174.477632</v>
      </c>
      <c r="G99" s="31" t="n">
        <f aca="false">G96*G98</f>
        <v>196.6065024</v>
      </c>
      <c r="H99" s="31" t="n">
        <f aca="false">H96*H98</f>
        <v>213.5146616064</v>
      </c>
      <c r="I99" s="31" t="n">
        <f aca="false">I96*I98</f>
        <v>228.887717242061</v>
      </c>
      <c r="J99" s="31" t="n">
        <f aca="false">J96*J98</f>
        <v>242.1632048421</v>
      </c>
      <c r="K99" s="31" t="n">
        <f aca="false">K96*K98</f>
        <v>252.818385855153</v>
      </c>
      <c r="L99" s="31" t="n">
        <f aca="false">L96*L98</f>
        <v>260.402937430807</v>
      </c>
    </row>
    <row r="100" customFormat="false" ht="15" hidden="false" customHeight="false" outlineLevel="0" collapsed="false">
      <c r="A100" s="12" t="s">
        <v>126</v>
      </c>
      <c r="C100" s="31" t="n">
        <f aca="false">C99*(1-$B$11)</f>
        <v>90.44</v>
      </c>
      <c r="D100" s="31" t="n">
        <f aca="false">D99*(1-$B$11)</f>
        <v>109.5276</v>
      </c>
      <c r="E100" s="31" t="n">
        <f aca="false">E99*(1-$B$11)</f>
        <v>129.1864</v>
      </c>
      <c r="F100" s="31" t="n">
        <f aca="false">F99*(1-$B$11)</f>
        <v>148.3059872</v>
      </c>
      <c r="G100" s="31" t="n">
        <f aca="false">G99*(1-$B$11)</f>
        <v>167.11552704</v>
      </c>
      <c r="H100" s="31" t="n">
        <f aca="false">H99*(1-$B$11)</f>
        <v>181.48746236544</v>
      </c>
      <c r="I100" s="31" t="n">
        <f aca="false">I99*(1-$B$11)</f>
        <v>194.554559655752</v>
      </c>
      <c r="J100" s="31" t="n">
        <f aca="false">J99*(1-$B$11)</f>
        <v>205.838724115785</v>
      </c>
      <c r="K100" s="31" t="n">
        <f aca="false">K99*(1-$B$11)</f>
        <v>214.89562797688</v>
      </c>
      <c r="L100" s="31" t="n">
        <f aca="false">L99*(1-$B$11)</f>
        <v>221.342496816186</v>
      </c>
    </row>
    <row r="101" customFormat="false" ht="15" hidden="false" customHeight="false" outlineLevel="0" collapsed="false">
      <c r="A101" s="12" t="s">
        <v>127</v>
      </c>
      <c r="C101" s="26" t="n">
        <f aca="false">E$45+(E$46-E$45)*MIN(C$95-1,4)/4</f>
        <v>0.6</v>
      </c>
      <c r="D101" s="26" t="n">
        <f aca="false">E$45+(E$46-E$45)*MIN(D$95-1,4)/4</f>
        <v>0.6625</v>
      </c>
      <c r="E101" s="26" t="n">
        <f aca="false">E$45+(E$46-E$45)*MIN(E$95-1,4)/4</f>
        <v>0.725</v>
      </c>
      <c r="F101" s="26" t="n">
        <f aca="false">E$45+(E$46-E$45)*MIN(F$95-1,4)/4</f>
        <v>0.7875</v>
      </c>
      <c r="G101" s="26" t="n">
        <f aca="false">E$45+(E$46-E$45)*MIN(G$95-1,4)/4</f>
        <v>0.85</v>
      </c>
      <c r="H101" s="26" t="n">
        <f aca="false">E$45+(E$46-E$45)*MIN(H$95-1,4)/4</f>
        <v>0.85</v>
      </c>
      <c r="I101" s="26" t="n">
        <f aca="false">E$45+(E$46-E$45)*MIN(I$95-1,4)/4</f>
        <v>0.85</v>
      </c>
      <c r="J101" s="26" t="n">
        <f aca="false">E$45+(E$46-E$45)*MIN(J$95-1,4)/4</f>
        <v>0.85</v>
      </c>
      <c r="K101" s="26" t="n">
        <f aca="false">E$45+(E$46-E$45)*MIN(K$95-1,4)/4</f>
        <v>0.85</v>
      </c>
      <c r="L101" s="26" t="n">
        <f aca="false">E$45+(E$46-E$45)*MIN(L$95-1,4)/4</f>
        <v>0.85</v>
      </c>
    </row>
    <row r="102" customFormat="false" ht="15" hidden="false" customHeight="false" outlineLevel="0" collapsed="false">
      <c r="A102" s="12" t="s">
        <v>128</v>
      </c>
      <c r="C102" s="31" t="n">
        <f aca="false">C100*(1-C101)</f>
        <v>36.176</v>
      </c>
      <c r="D102" s="31" t="n">
        <f aca="false">D100*(1-D101)</f>
        <v>36.965565</v>
      </c>
      <c r="E102" s="31" t="n">
        <f aca="false">E100*(1-E101)</f>
        <v>35.52626</v>
      </c>
      <c r="F102" s="31" t="n">
        <f aca="false">F100*(1-F101)</f>
        <v>31.51502228</v>
      </c>
      <c r="G102" s="31" t="n">
        <f aca="false">G100*(1-G101)</f>
        <v>25.067329056</v>
      </c>
      <c r="H102" s="31" t="n">
        <f aca="false">H100*(1-H101)</f>
        <v>27.223119354816</v>
      </c>
      <c r="I102" s="31" t="n">
        <f aca="false">I100*(1-I101)</f>
        <v>29.1831839483628</v>
      </c>
      <c r="J102" s="31" t="n">
        <f aca="false">J100*(1-J101)</f>
        <v>30.8758086173678</v>
      </c>
      <c r="K102" s="31" t="n">
        <f aca="false">K100*(1-K101)</f>
        <v>32.234344196532</v>
      </c>
      <c r="L102" s="31" t="n">
        <f aca="false">L100*(1-L101)</f>
        <v>33.201374522428</v>
      </c>
    </row>
    <row r="103" customFormat="false" ht="15" hidden="false" customHeight="false" outlineLevel="0" collapsed="false">
      <c r="A103" s="7" t="s">
        <v>129</v>
      </c>
      <c r="C103" s="39" t="n">
        <f aca="false">C100-C102</f>
        <v>54.264</v>
      </c>
      <c r="D103" s="39" t="n">
        <f aca="false">D100-D102</f>
        <v>72.562035</v>
      </c>
      <c r="E103" s="39" t="n">
        <f aca="false">E100-E102</f>
        <v>93.66014</v>
      </c>
      <c r="F103" s="39" t="n">
        <f aca="false">F100-F102</f>
        <v>116.79096492</v>
      </c>
      <c r="G103" s="39" t="n">
        <f aca="false">G100-G102</f>
        <v>142.048197984</v>
      </c>
      <c r="H103" s="39" t="n">
        <f aca="false">H100-H102</f>
        <v>154.264343010624</v>
      </c>
      <c r="I103" s="39" t="n">
        <f aca="false">I100-I102</f>
        <v>165.371375707389</v>
      </c>
      <c r="J103" s="39" t="n">
        <f aca="false">J100-J102</f>
        <v>174.962915498418</v>
      </c>
      <c r="K103" s="39" t="n">
        <f aca="false">K100-K102</f>
        <v>182.661283780348</v>
      </c>
      <c r="L103" s="39" t="n">
        <f aca="false">L100-L102</f>
        <v>188.141122293758</v>
      </c>
    </row>
    <row r="104" customFormat="false" ht="15" hidden="false" customHeight="false" outlineLevel="0" collapsed="false">
      <c r="A104" s="12" t="s">
        <v>130</v>
      </c>
      <c r="C104" s="40" t="n">
        <f aca="false">1/(1+$B$27)^C$95</f>
        <v>0.910443253119762</v>
      </c>
      <c r="D104" s="40" t="n">
        <f aca="false">1/(1+$B$27)^D$95</f>
        <v>0.828906917151295</v>
      </c>
      <c r="E104" s="40" t="n">
        <f aca="false">1/(1+$B$27)^E$95</f>
        <v>0.754672710184699</v>
      </c>
      <c r="F104" s="40" t="n">
        <f aca="false">1/(1+$B$27)^F$95</f>
        <v>0.687086677301264</v>
      </c>
      <c r="G104" s="40" t="n">
        <f aca="false">1/(1+$B$27)^G$95</f>
        <v>0.625553429657411</v>
      </c>
      <c r="H104" s="40" t="n">
        <f aca="false">1/(1+$B$27)^H$95</f>
        <v>0.569530899497518</v>
      </c>
      <c r="I104" s="40" t="n">
        <f aca="false">1/(1+$B$27)^I$95</f>
        <v>0.518525564890744</v>
      </c>
      <c r="J104" s="40" t="n">
        <f aca="false">1/(1+$B$27)^J$95</f>
        <v>0.472088102124892</v>
      </c>
      <c r="K104" s="40" t="n">
        <f aca="false">1/(1+$B$27)^K$95</f>
        <v>0.429809427457721</v>
      </c>
      <c r="L104" s="40" t="n">
        <f aca="false">1/(1+$B$27)^L$95</f>
        <v>0.39131709335615</v>
      </c>
    </row>
    <row r="105" customFormat="false" ht="15" hidden="false" customHeight="false" outlineLevel="0" collapsed="false">
      <c r="A105" s="12" t="s">
        <v>131</v>
      </c>
      <c r="C105" s="31" t="n">
        <f aca="false">C103*C104</f>
        <v>49.4042926872908</v>
      </c>
      <c r="D105" s="31" t="n">
        <f aca="false">D103*D104</f>
        <v>60.1471727340744</v>
      </c>
      <c r="E105" s="31" t="n">
        <f aca="false">E103*E104</f>
        <v>70.6827516900783</v>
      </c>
      <c r="F105" s="31" t="n">
        <f aca="false">F103*F104</f>
        <v>80.2455160256913</v>
      </c>
      <c r="G105" s="31" t="n">
        <f aca="false">G103*G104</f>
        <v>88.8587374255462</v>
      </c>
      <c r="H105" s="31" t="n">
        <f aca="false">H103*H104</f>
        <v>87.8583100352343</v>
      </c>
      <c r="I105" s="31" t="n">
        <f aca="false">I103*I104</f>
        <v>85.7492860054334</v>
      </c>
      <c r="J105" s="31" t="n">
        <f aca="false">J103*J104</f>
        <v>82.5979107198857</v>
      </c>
      <c r="K105" s="31" t="n">
        <f aca="false">K103*K104</f>
        <v>78.5095418003236</v>
      </c>
      <c r="L105" s="31" t="n">
        <f aca="false">L103*L104</f>
        <v>73.6228371167574</v>
      </c>
    </row>
    <row r="108" customFormat="false" ht="15" hidden="false" customHeight="false" outlineLevel="0" collapsed="false">
      <c r="A108" s="10" t="s">
        <v>134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customFormat="false" ht="15" hidden="false" customHeight="false" outlineLevel="0" collapsed="false">
      <c r="A109" s="7" t="s">
        <v>121</v>
      </c>
      <c r="C109" s="38" t="n">
        <v>1</v>
      </c>
      <c r="D109" s="38" t="n">
        <v>2</v>
      </c>
      <c r="E109" s="38" t="n">
        <v>3</v>
      </c>
      <c r="F109" s="38" t="n">
        <v>4</v>
      </c>
      <c r="G109" s="38" t="n">
        <v>5</v>
      </c>
      <c r="H109" s="38" t="n">
        <v>6</v>
      </c>
      <c r="I109" s="38" t="n">
        <v>7</v>
      </c>
      <c r="J109" s="38" t="n">
        <v>8</v>
      </c>
      <c r="K109" s="38" t="n">
        <v>9</v>
      </c>
      <c r="L109" s="38" t="n">
        <v>10</v>
      </c>
    </row>
    <row r="110" customFormat="false" ht="15" hidden="false" customHeight="false" outlineLevel="0" collapsed="false">
      <c r="A110" s="12" t="s">
        <v>122</v>
      </c>
      <c r="C110" s="31" t="n">
        <f aca="false">F$38</f>
        <v>268</v>
      </c>
      <c r="D110" s="31" t="n">
        <f aca="false">C110*(1+D111)</f>
        <v>336.372696</v>
      </c>
      <c r="E110" s="31" t="n">
        <f aca="false">D110*(1+E111)</f>
        <v>403.799612031288</v>
      </c>
      <c r="F110" s="31" t="n">
        <f aca="false">E110*(1+F111)</f>
        <v>470.025575001704</v>
      </c>
      <c r="G110" s="31" t="n">
        <f aca="false">F110*(1+G111)</f>
        <v>538.547783427752</v>
      </c>
      <c r="H110" s="31" t="n">
        <f aca="false">G110*(1+H111)</f>
        <v>604.588390175703</v>
      </c>
      <c r="I110" s="31" t="n">
        <f aca="false">H110*(1+I111)</f>
        <v>664.727039181837</v>
      </c>
      <c r="J110" s="31" t="n">
        <f aca="false">I110*(1+J111)</f>
        <v>715.454752559144</v>
      </c>
      <c r="K110" s="31" t="n">
        <f aca="false">J110*(1+K111)</f>
        <v>753.48603774998</v>
      </c>
      <c r="L110" s="31" t="n">
        <f aca="false">K110*(1+L111)</f>
        <v>776.090618882479</v>
      </c>
    </row>
    <row r="111" customFormat="false" ht="15" hidden="false" customHeight="false" outlineLevel="0" collapsed="false">
      <c r="A111" s="12" t="s">
        <v>123</v>
      </c>
      <c r="C111" s="26" t="n">
        <f aca="false">C110/$B$10-1</f>
        <v>0.174151150054765</v>
      </c>
      <c r="D111" s="26" t="n">
        <f aca="false">F$39</f>
        <v>0.255122</v>
      </c>
      <c r="E111" s="26" t="n">
        <f aca="false">F$40</f>
        <v>0.200453</v>
      </c>
      <c r="F111" s="26" t="n">
        <f aca="false">F$41</f>
        <v>0.164007</v>
      </c>
      <c r="G111" s="26" t="n">
        <f aca="false">F$42</f>
        <v>0.145784</v>
      </c>
      <c r="H111" s="26" t="n">
        <f aca="false">G111+($B$29-$G111)/5</f>
        <v>0.1226272</v>
      </c>
      <c r="I111" s="26" t="n">
        <f aca="false">H111+($B$29-$G111)/5</f>
        <v>0.0994704</v>
      </c>
      <c r="J111" s="26" t="n">
        <f aca="false">I111+($B$29-$G111)/5</f>
        <v>0.0763136</v>
      </c>
      <c r="K111" s="26" t="n">
        <f aca="false">J111+($B$29-$G111)/5</f>
        <v>0.0531568</v>
      </c>
      <c r="L111" s="26" t="n">
        <f aca="false">K111+($B$29-$G111)/5</f>
        <v>0.03</v>
      </c>
    </row>
    <row r="112" customFormat="false" ht="15" hidden="false" customHeight="false" outlineLevel="0" collapsed="false">
      <c r="A112" s="12" t="s">
        <v>124</v>
      </c>
      <c r="C112" s="26" t="n">
        <f aca="false">F$43+(F$44-F$43)*MIN(C$109-1,4)/4</f>
        <v>0.34</v>
      </c>
      <c r="D112" s="26" t="n">
        <f aca="false">F$43+(F$44-F$43)*MIN(D$109-1,4)/4</f>
        <v>0.345</v>
      </c>
      <c r="E112" s="26" t="n">
        <f aca="false">F$43+(F$44-F$43)*MIN(E$109-1,4)/4</f>
        <v>0.35</v>
      </c>
      <c r="F112" s="26" t="n">
        <f aca="false">F$43+(F$44-F$43)*MIN(F$109-1,4)/4</f>
        <v>0.355</v>
      </c>
      <c r="G112" s="26" t="n">
        <f aca="false">F$43+(F$44-F$43)*MIN(G$109-1,4)/4</f>
        <v>0.36</v>
      </c>
      <c r="H112" s="26" t="n">
        <f aca="false">F$43+(F$44-F$43)*MIN(H$109-1,4)/4</f>
        <v>0.36</v>
      </c>
      <c r="I112" s="26" t="n">
        <f aca="false">F$43+(F$44-F$43)*MIN(I$109-1,4)/4</f>
        <v>0.36</v>
      </c>
      <c r="J112" s="26" t="n">
        <f aca="false">F$43+(F$44-F$43)*MIN(J$109-1,4)/4</f>
        <v>0.36</v>
      </c>
      <c r="K112" s="26" t="n">
        <f aca="false">F$43+(F$44-F$43)*MIN(K$109-1,4)/4</f>
        <v>0.36</v>
      </c>
      <c r="L112" s="26" t="n">
        <f aca="false">F$43+(F$44-F$43)*MIN(L$109-1,4)/4</f>
        <v>0.36</v>
      </c>
    </row>
    <row r="113" customFormat="false" ht="15" hidden="false" customHeight="false" outlineLevel="0" collapsed="false">
      <c r="A113" s="12" t="s">
        <v>125</v>
      </c>
      <c r="C113" s="31" t="n">
        <f aca="false">C110*C112</f>
        <v>91.12</v>
      </c>
      <c r="D113" s="31" t="n">
        <f aca="false">D110*D112</f>
        <v>116.04858012</v>
      </c>
      <c r="E113" s="31" t="n">
        <f aca="false">E110*E112</f>
        <v>141.329864210951</v>
      </c>
      <c r="F113" s="31" t="n">
        <f aca="false">F110*F112</f>
        <v>166.859079125605</v>
      </c>
      <c r="G113" s="31" t="n">
        <f aca="false">G110*G112</f>
        <v>193.877202033991</v>
      </c>
      <c r="H113" s="31" t="n">
        <f aca="false">H110*H112</f>
        <v>217.651820463253</v>
      </c>
      <c r="I113" s="31" t="n">
        <f aca="false">I110*I112</f>
        <v>239.301734105461</v>
      </c>
      <c r="J113" s="31" t="n">
        <f aca="false">J110*J112</f>
        <v>257.563710921292</v>
      </c>
      <c r="K113" s="31" t="n">
        <f aca="false">K110*K112</f>
        <v>271.254973589993</v>
      </c>
      <c r="L113" s="31" t="n">
        <f aca="false">L110*L112</f>
        <v>279.392622797692</v>
      </c>
    </row>
    <row r="114" customFormat="false" ht="15" hidden="false" customHeight="false" outlineLevel="0" collapsed="false">
      <c r="A114" s="12" t="s">
        <v>126</v>
      </c>
      <c r="C114" s="31" t="n">
        <f aca="false">C113*(1-$B$11)</f>
        <v>77.452</v>
      </c>
      <c r="D114" s="31" t="n">
        <f aca="false">D113*(1-$B$11)</f>
        <v>98.641293102</v>
      </c>
      <c r="E114" s="31" t="n">
        <f aca="false">E113*(1-$B$11)</f>
        <v>120.130384579308</v>
      </c>
      <c r="F114" s="31" t="n">
        <f aca="false">F113*(1-$B$11)</f>
        <v>141.830217256764</v>
      </c>
      <c r="G114" s="31" t="n">
        <f aca="false">G113*(1-$B$11)</f>
        <v>164.795621728892</v>
      </c>
      <c r="H114" s="31" t="n">
        <f aca="false">H113*(1-$B$11)</f>
        <v>185.004047393765</v>
      </c>
      <c r="I114" s="31" t="n">
        <f aca="false">I113*(1-$B$11)</f>
        <v>203.406473989642</v>
      </c>
      <c r="J114" s="31" t="n">
        <f aca="false">J113*(1-$B$11)</f>
        <v>218.929154283098</v>
      </c>
      <c r="K114" s="31" t="n">
        <f aca="false">K113*(1-$B$11)</f>
        <v>230.566727551494</v>
      </c>
      <c r="L114" s="31" t="n">
        <f aca="false">L113*(1-$B$11)</f>
        <v>237.483729378039</v>
      </c>
    </row>
    <row r="115" customFormat="false" ht="15" hidden="false" customHeight="false" outlineLevel="0" collapsed="false">
      <c r="A115" s="12" t="s">
        <v>127</v>
      </c>
      <c r="C115" s="26" t="n">
        <f aca="false">F$45+(F$46-F$45)*MIN(C$109-1,4)/4</f>
        <v>0.55</v>
      </c>
      <c r="D115" s="26" t="n">
        <f aca="false">F$45+(F$46-F$45)*MIN(D$109-1,4)/4</f>
        <v>0.6</v>
      </c>
      <c r="E115" s="26" t="n">
        <f aca="false">F$45+(F$46-F$45)*MIN(E$109-1,4)/4</f>
        <v>0.65</v>
      </c>
      <c r="F115" s="26" t="n">
        <f aca="false">F$45+(F$46-F$45)*MIN(F$109-1,4)/4</f>
        <v>0.7</v>
      </c>
      <c r="G115" s="26" t="n">
        <f aca="false">F$45+(F$46-F$45)*MIN(G$109-1,4)/4</f>
        <v>0.75</v>
      </c>
      <c r="H115" s="26" t="n">
        <f aca="false">F$45+(F$46-F$45)*MIN(H$109-1,4)/4</f>
        <v>0.75</v>
      </c>
      <c r="I115" s="26" t="n">
        <f aca="false">F$45+(F$46-F$45)*MIN(I$109-1,4)/4</f>
        <v>0.75</v>
      </c>
      <c r="J115" s="26" t="n">
        <f aca="false">F$45+(F$46-F$45)*MIN(J$109-1,4)/4</f>
        <v>0.75</v>
      </c>
      <c r="K115" s="26" t="n">
        <f aca="false">F$45+(F$46-F$45)*MIN(K$109-1,4)/4</f>
        <v>0.75</v>
      </c>
      <c r="L115" s="26" t="n">
        <f aca="false">F$45+(F$46-F$45)*MIN(L$109-1,4)/4</f>
        <v>0.75</v>
      </c>
    </row>
    <row r="116" customFormat="false" ht="15" hidden="false" customHeight="false" outlineLevel="0" collapsed="false">
      <c r="A116" s="12" t="s">
        <v>128</v>
      </c>
      <c r="C116" s="31" t="n">
        <f aca="false">C114*(1-C115)</f>
        <v>34.8534</v>
      </c>
      <c r="D116" s="31" t="n">
        <f aca="false">D114*(1-D115)</f>
        <v>39.4565172408</v>
      </c>
      <c r="E116" s="31" t="n">
        <f aca="false">E114*(1-E115)</f>
        <v>42.0456346027579</v>
      </c>
      <c r="F116" s="31" t="n">
        <f aca="false">F114*(1-F115)</f>
        <v>42.5490651770292</v>
      </c>
      <c r="G116" s="31" t="n">
        <f aca="false">G114*(1-G115)</f>
        <v>41.198905432223</v>
      </c>
      <c r="H116" s="31" t="n">
        <f aca="false">H114*(1-H115)</f>
        <v>46.2510118484413</v>
      </c>
      <c r="I116" s="31" t="n">
        <f aca="false">I114*(1-I115)</f>
        <v>50.8516184974105</v>
      </c>
      <c r="J116" s="31" t="n">
        <f aca="false">J114*(1-J115)</f>
        <v>54.7322885707745</v>
      </c>
      <c r="K116" s="31" t="n">
        <f aca="false">K114*(1-K115)</f>
        <v>57.6416818878734</v>
      </c>
      <c r="L116" s="31" t="n">
        <f aca="false">L114*(1-L115)</f>
        <v>59.3709323445096</v>
      </c>
    </row>
    <row r="117" customFormat="false" ht="15" hidden="false" customHeight="false" outlineLevel="0" collapsed="false">
      <c r="A117" s="7" t="s">
        <v>129</v>
      </c>
      <c r="C117" s="39" t="n">
        <f aca="false">C114-C116</f>
        <v>42.5986</v>
      </c>
      <c r="D117" s="39" t="n">
        <f aca="false">D114-D116</f>
        <v>59.1847758612</v>
      </c>
      <c r="E117" s="39" t="n">
        <f aca="false">E114-E116</f>
        <v>78.0847499765503</v>
      </c>
      <c r="F117" s="39" t="n">
        <f aca="false">F114-F116</f>
        <v>99.2811520797348</v>
      </c>
      <c r="G117" s="39" t="n">
        <f aca="false">G114-G116</f>
        <v>123.596716296669</v>
      </c>
      <c r="H117" s="39" t="n">
        <f aca="false">H114-H116</f>
        <v>138.753035545324</v>
      </c>
      <c r="I117" s="39" t="n">
        <f aca="false">I114-I116</f>
        <v>152.554855492232</v>
      </c>
      <c r="J117" s="39" t="n">
        <f aca="false">J114-J116</f>
        <v>164.196865712323</v>
      </c>
      <c r="K117" s="39" t="n">
        <f aca="false">K114-K116</f>
        <v>172.92504566362</v>
      </c>
      <c r="L117" s="39" t="n">
        <f aca="false">L114-L116</f>
        <v>178.112797033529</v>
      </c>
    </row>
    <row r="118" customFormat="false" ht="15" hidden="false" customHeight="false" outlineLevel="0" collapsed="false">
      <c r="A118" s="12" t="s">
        <v>130</v>
      </c>
      <c r="C118" s="40" t="n">
        <f aca="false">1/(1+$B$27)^C$109</f>
        <v>0.910443253119762</v>
      </c>
      <c r="D118" s="40" t="n">
        <f aca="false">1/(1+$B$27)^D$109</f>
        <v>0.828906917151295</v>
      </c>
      <c r="E118" s="40" t="n">
        <f aca="false">1/(1+$B$27)^E$109</f>
        <v>0.754672710184699</v>
      </c>
      <c r="F118" s="40" t="n">
        <f aca="false">1/(1+$B$27)^F$109</f>
        <v>0.687086677301264</v>
      </c>
      <c r="G118" s="40" t="n">
        <f aca="false">1/(1+$B$27)^G$109</f>
        <v>0.625553429657411</v>
      </c>
      <c r="H118" s="40" t="n">
        <f aca="false">1/(1+$B$27)^H$109</f>
        <v>0.569530899497518</v>
      </c>
      <c r="I118" s="40" t="n">
        <f aca="false">1/(1+$B$27)^I$109</f>
        <v>0.518525564890744</v>
      </c>
      <c r="J118" s="40" t="n">
        <f aca="false">1/(1+$B$27)^J$109</f>
        <v>0.472088102124892</v>
      </c>
      <c r="K118" s="40" t="n">
        <f aca="false">1/(1+$B$27)^K$109</f>
        <v>0.429809427457721</v>
      </c>
      <c r="L118" s="40" t="n">
        <f aca="false">1/(1+$B$27)^L$109</f>
        <v>0.39131709335615</v>
      </c>
    </row>
    <row r="119" customFormat="false" ht="15" hidden="false" customHeight="false" outlineLevel="0" collapsed="false">
      <c r="A119" s="12" t="s">
        <v>131</v>
      </c>
      <c r="C119" s="31" t="n">
        <f aca="false">C117*C118</f>
        <v>38.7836079623475</v>
      </c>
      <c r="D119" s="31" t="n">
        <f aca="false">D117*D118</f>
        <v>49.0586701013977</v>
      </c>
      <c r="E119" s="31" t="n">
        <f aca="false">E117*E118</f>
        <v>58.9284298888978</v>
      </c>
      <c r="F119" s="31" t="n">
        <f aca="false">F117*F118</f>
        <v>68.2147569011065</v>
      </c>
      <c r="G119" s="31" t="n">
        <f aca="false">G117*G118</f>
        <v>77.3163497737754</v>
      </c>
      <c r="H119" s="31" t="n">
        <f aca="false">H117*H118</f>
        <v>79.0241411421394</v>
      </c>
      <c r="I119" s="31" t="n">
        <f aca="false">I117*I118</f>
        <v>79.1035926209352</v>
      </c>
      <c r="J119" s="31" t="n">
        <f aca="false">J117*J118</f>
        <v>77.5153867089865</v>
      </c>
      <c r="K119" s="31" t="n">
        <f aca="false">K117*K118</f>
        <v>74.3248148697809</v>
      </c>
      <c r="L119" s="31" t="n">
        <f aca="false">L117*L118</f>
        <v>69.6985820246944</v>
      </c>
    </row>
    <row r="123" customFormat="false" ht="15" hidden="false" customHeight="false" outlineLevel="0" collapsed="false">
      <c r="A123" s="8" t="s">
        <v>135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A124" s="12" t="s">
        <v>136</v>
      </c>
      <c r="B124" s="22" t="n">
        <v>0.0075</v>
      </c>
    </row>
    <row r="125" customFormat="false" ht="15" hidden="false" customHeight="false" outlineLevel="0" collapsed="false">
      <c r="A125" s="10" t="s">
        <v>137</v>
      </c>
      <c r="B125" s="41"/>
      <c r="C125" s="42" t="n">
        <v>0.02</v>
      </c>
      <c r="D125" s="42" t="n">
        <v>0.025</v>
      </c>
      <c r="E125" s="42" t="n">
        <v>0.03</v>
      </c>
      <c r="F125" s="42" t="n">
        <v>0.035</v>
      </c>
      <c r="G125" s="42" t="n">
        <v>0.04</v>
      </c>
    </row>
    <row r="126" customFormat="false" ht="15" hidden="false" customHeight="false" outlineLevel="0" collapsed="false">
      <c r="B126" s="43" t="n">
        <f aca="false">$B$27+(-2)*$B$124</f>
        <v>0.0833660942879845</v>
      </c>
      <c r="C126" s="44" t="n">
        <f aca="false">(SUMPRODUCT($C$89:$L$89/(1+$B126)^$C$81:$L$81)+$L$89*(1+C$125)/($B126-C$125)/(1+$B126)^$L$81+$B$8-$B$9)/$B$7</f>
        <v>533.625319924142</v>
      </c>
      <c r="D126" s="44" t="n">
        <f aca="false">(SUMPRODUCT($C$89:$L$89/(1+$B126)^$C$81:$L$81)+$L$89*(1+D$125)/($B126-D$125)/(1+$B126)^$L$81+$B$8-$B$9)/$B$7</f>
        <v>563.726436407364</v>
      </c>
      <c r="E126" s="44" t="n">
        <f aca="false">(SUMPRODUCT($C$89:$L$89/(1+$B126)^$C$81:$L$81)+$L$89*(1+E$125)/($B126-E$125)/(1+$B126)^$L$81+$B$8-$B$9)/$B$7</f>
        <v>599.46804745644</v>
      </c>
      <c r="F126" s="44" t="n">
        <f aca="false">(SUMPRODUCT($C$89:$L$89/(1+$B126)^$C$81:$L$81)+$L$89*(1+F$125)/($B126-F$125)/(1+$B126)^$L$81+$B$8-$B$9)/$B$7</f>
        <v>642.599465678338</v>
      </c>
      <c r="G126" s="44" t="n">
        <f aca="false">(SUMPRODUCT($C$89:$L$89/(1+$B126)^$C$81:$L$81)+$L$89*(1+G$125)/($B126-G$125)/(1+$B126)^$L$81+$B$8-$B$9)/$B$7</f>
        <v>695.676768797195</v>
      </c>
    </row>
    <row r="127" customFormat="false" ht="15" hidden="false" customHeight="false" outlineLevel="0" collapsed="false">
      <c r="B127" s="43" t="n">
        <f aca="false">$B$27+(-1)*$B$124</f>
        <v>0.0908660942879845</v>
      </c>
      <c r="C127" s="44" t="n">
        <f aca="false">(SUMPRODUCT($C$89:$L$89/(1+$B127)^$C$81:$L$81)+$L$89*(1+C$125)/($B127-C$125)/(1+$B127)^$L$81+$B$8-$B$9)/$B$7</f>
        <v>470.769246954523</v>
      </c>
      <c r="D127" s="44" t="n">
        <f aca="false">(SUMPRODUCT($C$89:$L$89/(1+$B127)^$C$81:$L$81)+$L$89*(1+D$125)/($B127-D$125)/(1+$B127)^$L$81+$B$8-$B$9)/$B$7</f>
        <v>493.183998596577</v>
      </c>
      <c r="E127" s="44" t="n">
        <f aca="false">(SUMPRODUCT($C$89:$L$89/(1+$B127)^$C$81:$L$81)+$L$89*(1+E$125)/($B127-E$125)/(1+$B127)^$L$81+$B$8-$B$9)/$B$7</f>
        <v>519.281383715324</v>
      </c>
      <c r="F127" s="44" t="n">
        <f aca="false">(SUMPRODUCT($C$89:$L$89/(1+$B127)^$C$81:$L$81)+$L$89*(1+F$125)/($B127-F$125)/(1+$B127)^$L$81+$B$8-$B$9)/$B$7</f>
        <v>550.050186346135</v>
      </c>
      <c r="G127" s="44" t="n">
        <f aca="false">(SUMPRODUCT($C$89:$L$89/(1+$B127)^$C$81:$L$81)+$L$89*(1+G$125)/($B127-G$125)/(1+$B127)^$L$81+$B$8-$B$9)/$B$7</f>
        <v>586.867969749208</v>
      </c>
    </row>
    <row r="128" customFormat="false" ht="15" hidden="false" customHeight="false" outlineLevel="0" collapsed="false">
      <c r="B128" s="43" t="n">
        <f aca="false">$B$27+(0)*$B$124</f>
        <v>0.0983660942879845</v>
      </c>
      <c r="C128" s="44" t="n">
        <f aca="false">(SUMPRODUCT($C$89:$L$89/(1+$B128)^$C$81:$L$81)+$L$89*(1+C$125)/($B128-C$125)/(1+$B128)^$L$81+$B$8-$B$9)/$B$7</f>
        <v>420.122195307733</v>
      </c>
      <c r="D128" s="44" t="n">
        <f aca="false">(SUMPRODUCT($C$89:$L$89/(1+$B128)^$C$81:$L$81)+$L$89*(1+D$125)/($B128-D$125)/(1+$B128)^$L$81+$B$8-$B$9)/$B$7</f>
        <v>437.231393872811</v>
      </c>
      <c r="E128" s="44" t="n">
        <f aca="false">(SUMPRODUCT($C$89:$L$89/(1+$B128)^$C$81:$L$81)+$L$89*(1+E$125)/($B128-E$125)/(1+$B128)^$L$81+$B$8-$B$9)/$B$7</f>
        <v>456.843177782755</v>
      </c>
      <c r="F128" s="44" t="n">
        <f aca="false">(SUMPRODUCT($C$89:$L$89/(1+$B128)^$C$81:$L$81)+$L$89*(1+F$125)/($B128-F$125)/(1+$B128)^$L$81+$B$8-$B$9)/$B$7</f>
        <v>479.549958177855</v>
      </c>
      <c r="G128" s="44" t="n">
        <f aca="false">(SUMPRODUCT($C$89:$L$89/(1+$B128)^$C$81:$L$81)+$L$89*(1+G$125)/($B128-G$125)/(1+$B128)^$L$81+$B$8-$B$9)/$B$7</f>
        <v>506.147144582147</v>
      </c>
    </row>
    <row r="129" customFormat="false" ht="15" hidden="false" customHeight="false" outlineLevel="0" collapsed="false">
      <c r="B129" s="43" t="n">
        <f aca="false">$B$27+(1)*$B$124</f>
        <v>0.105866094287984</v>
      </c>
      <c r="C129" s="44" t="n">
        <f aca="false">(SUMPRODUCT($C$89:$L$89/(1+$B129)^$C$81:$L$81)+$L$89*(1+C$125)/($B129-C$125)/(1+$B129)^$L$81+$B$8-$B$9)/$B$7</f>
        <v>378.477245473444</v>
      </c>
      <c r="D129" s="44" t="n">
        <f aca="false">(SUMPRODUCT($C$89:$L$89/(1+$B129)^$C$81:$L$81)+$L$89*(1+D$125)/($B129-D$125)/(1+$B129)^$L$81+$B$8-$B$9)/$B$7</f>
        <v>391.802216366747</v>
      </c>
      <c r="E129" s="44" t="n">
        <f aca="false">(SUMPRODUCT($C$89:$L$89/(1+$B129)^$C$81:$L$81)+$L$89*(1+E$125)/($B129-E$125)/(1+$B129)^$L$81+$B$8-$B$9)/$B$7</f>
        <v>406.883567500574</v>
      </c>
      <c r="F129" s="44" t="n">
        <f aca="false">(SUMPRODUCT($C$89:$L$89/(1+$B129)^$C$81:$L$81)+$L$89*(1+F$125)/($B129-F$125)/(1+$B129)^$L$81+$B$8-$B$9)/$B$7</f>
        <v>424.093066274728</v>
      </c>
      <c r="G129" s="44" t="n">
        <f aca="false">(SUMPRODUCT($C$89:$L$89/(1+$B129)^$C$81:$L$81)+$L$89*(1+G$125)/($B129-G$125)/(1+$B129)^$L$81+$B$8-$B$9)/$B$7</f>
        <v>443.915365907988</v>
      </c>
    </row>
    <row r="130" customFormat="false" ht="15" hidden="false" customHeight="false" outlineLevel="0" collapsed="false">
      <c r="B130" s="43" t="n">
        <f aca="false">$B$27+(2)*$B$124</f>
        <v>0.113366094287984</v>
      </c>
      <c r="C130" s="44" t="n">
        <f aca="false">(SUMPRODUCT($C$89:$L$89/(1+$B130)^$C$81:$L$81)+$L$89*(1+C$125)/($B130-C$125)/(1+$B130)^$L$81+$B$8-$B$9)/$B$7</f>
        <v>343.658321765858</v>
      </c>
      <c r="D130" s="44" t="n">
        <f aca="false">(SUMPRODUCT($C$89:$L$89/(1+$B130)^$C$81:$L$81)+$L$89*(1+D$125)/($B130-D$125)/(1+$B130)^$L$81+$B$8-$B$9)/$B$7</f>
        <v>354.210948018904</v>
      </c>
      <c r="E130" s="44" t="n">
        <f aca="false">(SUMPRODUCT($C$89:$L$89/(1+$B130)^$C$81:$L$81)+$L$89*(1+E$125)/($B130-E$125)/(1+$B130)^$L$81+$B$8-$B$9)/$B$7</f>
        <v>366.029391789633</v>
      </c>
      <c r="F130" s="44" t="n">
        <f aca="false">(SUMPRODUCT($C$89:$L$89/(1+$B130)^$C$81:$L$81)+$L$89*(1+F$125)/($B130-F$125)/(1+$B130)^$L$81+$B$8-$B$9)/$B$7</f>
        <v>379.355942335122</v>
      </c>
      <c r="G130" s="44" t="n">
        <f aca="false">(SUMPRODUCT($C$89:$L$89/(1+$B130)^$C$81:$L$81)+$L$89*(1+G$125)/($B130-G$125)/(1+$B130)^$L$81+$B$8-$B$9)/$B$7</f>
        <v>394.498938293826</v>
      </c>
    </row>
    <row r="132" customFormat="false" ht="15" hidden="false" customHeight="false" outlineLevel="0" collapsed="false">
      <c r="A132" s="6" t="s">
        <v>138</v>
      </c>
    </row>
  </sheetData>
  <mergeCells count="4">
    <mergeCell ref="B33:L33"/>
    <mergeCell ref="B34:L34"/>
    <mergeCell ref="B35:L35"/>
    <mergeCell ref="B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.5"/>
  </cols>
  <sheetData>
    <row r="1" customFormat="false" ht="17.35" hidden="false" customHeight="false" outlineLevel="0" collapsed="false">
      <c r="A1" s="5" t="s">
        <v>228</v>
      </c>
    </row>
    <row r="2" customFormat="false" ht="15" hidden="false" customHeight="false" outlineLevel="0" collapsed="false">
      <c r="A2" s="6" t="s">
        <v>229</v>
      </c>
    </row>
    <row r="4" customFormat="false" ht="15" hidden="false" customHeight="false" outlineLevel="0" collapsed="false">
      <c r="A4" s="8" t="s">
        <v>141</v>
      </c>
      <c r="B4" s="45" t="s">
        <v>230</v>
      </c>
      <c r="C4" s="45" t="s">
        <v>142</v>
      </c>
      <c r="D4" s="45" t="s">
        <v>143</v>
      </c>
      <c r="E4" s="45" t="s">
        <v>144</v>
      </c>
      <c r="F4" s="45" t="s">
        <v>145</v>
      </c>
      <c r="G4" s="45" t="s">
        <v>146</v>
      </c>
      <c r="H4" s="45" t="s">
        <v>147</v>
      </c>
      <c r="I4" s="45" t="s">
        <v>148</v>
      </c>
      <c r="J4" s="45" t="s">
        <v>149</v>
      </c>
      <c r="K4" s="45" t="s">
        <v>150</v>
      </c>
      <c r="L4" s="45" t="s">
        <v>231</v>
      </c>
      <c r="M4" s="45" t="s">
        <v>153</v>
      </c>
      <c r="N4" s="45" t="s">
        <v>154</v>
      </c>
      <c r="O4" s="45" t="s">
        <v>155</v>
      </c>
      <c r="P4" s="45" t="s">
        <v>156</v>
      </c>
      <c r="Q4" s="45" t="s">
        <v>157</v>
      </c>
    </row>
    <row r="5" customFormat="false" ht="15" hidden="false" customHeight="false" outlineLevel="0" collapsed="false">
      <c r="A5" s="6" t="s">
        <v>158</v>
      </c>
      <c r="B5" s="46" t="s">
        <v>232</v>
      </c>
      <c r="C5" s="46" t="s">
        <v>233</v>
      </c>
      <c r="D5" s="46" t="s">
        <v>234</v>
      </c>
      <c r="E5" s="46" t="s">
        <v>235</v>
      </c>
      <c r="F5" s="46" t="s">
        <v>236</v>
      </c>
      <c r="G5" s="46" t="s">
        <v>237</v>
      </c>
      <c r="H5" s="46" t="s">
        <v>238</v>
      </c>
      <c r="I5" s="46" t="s">
        <v>239</v>
      </c>
      <c r="J5" s="46" t="s">
        <v>240</v>
      </c>
      <c r="K5" s="46" t="s">
        <v>241</v>
      </c>
      <c r="M5" s="46" t="s">
        <v>169</v>
      </c>
      <c r="N5" s="46" t="s">
        <v>170</v>
      </c>
      <c r="O5" s="46" t="s">
        <v>171</v>
      </c>
      <c r="P5" s="46" t="s">
        <v>172</v>
      </c>
      <c r="Q5" s="46" t="s">
        <v>173</v>
      </c>
    </row>
    <row r="6" customFormat="false" ht="15" hidden="false" customHeight="false" outlineLevel="0" collapsed="false">
      <c r="A6" s="6" t="s">
        <v>174</v>
      </c>
      <c r="B6" s="46" t="s">
        <v>175</v>
      </c>
      <c r="C6" s="46" t="s">
        <v>175</v>
      </c>
      <c r="D6" s="46" t="s">
        <v>175</v>
      </c>
      <c r="E6" s="46" t="s">
        <v>175</v>
      </c>
      <c r="F6" s="46" t="s">
        <v>175</v>
      </c>
      <c r="G6" s="46" t="s">
        <v>175</v>
      </c>
      <c r="H6" s="46" t="s">
        <v>175</v>
      </c>
      <c r="I6" s="46" t="s">
        <v>175</v>
      </c>
      <c r="J6" s="46" t="s">
        <v>175</v>
      </c>
      <c r="K6" s="46" t="s">
        <v>175</v>
      </c>
      <c r="L6" s="46" t="s">
        <v>176</v>
      </c>
      <c r="M6" s="46" t="s">
        <v>177</v>
      </c>
      <c r="N6" s="46" t="s">
        <v>177</v>
      </c>
      <c r="O6" s="46" t="s">
        <v>177</v>
      </c>
      <c r="P6" s="46" t="s">
        <v>177</v>
      </c>
      <c r="Q6" s="46" t="s">
        <v>177</v>
      </c>
    </row>
    <row r="7" customFormat="false" ht="15" hidden="false" customHeight="false" outlineLevel="0" collapsed="false">
      <c r="A7" s="6" t="s">
        <v>178</v>
      </c>
      <c r="M7" s="47" t="n">
        <v>1</v>
      </c>
      <c r="N7" s="47" t="n">
        <v>2</v>
      </c>
      <c r="O7" s="47" t="n">
        <v>3</v>
      </c>
      <c r="P7" s="47" t="n">
        <v>4</v>
      </c>
      <c r="Q7" s="47" t="n">
        <v>5</v>
      </c>
    </row>
    <row r="8" customFormat="false" ht="15" hidden="false" customHeight="false" outlineLevel="0" collapsed="false">
      <c r="A8" s="7" t="s">
        <v>179</v>
      </c>
      <c r="B8" s="48" t="n">
        <v>27638</v>
      </c>
      <c r="C8" s="48" t="n">
        <v>40653</v>
      </c>
      <c r="D8" s="48" t="n">
        <v>55838</v>
      </c>
      <c r="E8" s="48" t="n">
        <v>70697</v>
      </c>
      <c r="F8" s="48" t="n">
        <v>85965</v>
      </c>
      <c r="G8" s="48" t="n">
        <v>117929</v>
      </c>
      <c r="H8" s="48" t="n">
        <v>116609</v>
      </c>
      <c r="I8" s="48" t="n">
        <v>134902</v>
      </c>
      <c r="J8" s="48" t="n">
        <v>164501</v>
      </c>
      <c r="K8" s="48" t="n">
        <v>200966</v>
      </c>
      <c r="L8" s="48" t="n">
        <v>228247</v>
      </c>
      <c r="M8" s="49" t="n">
        <f aca="false">META!C82*1000</f>
        <v>268000</v>
      </c>
      <c r="N8" s="49" t="n">
        <f aca="false">META!D82*1000</f>
        <v>305520</v>
      </c>
      <c r="O8" s="49" t="n">
        <f aca="false">META!E82*1000</f>
        <v>339127.2</v>
      </c>
      <c r="P8" s="49" t="n">
        <f aca="false">META!F82*1000</f>
        <v>369648.648</v>
      </c>
      <c r="Q8" s="49" t="n">
        <f aca="false">META!G82*1000</f>
        <v>399220.53984</v>
      </c>
    </row>
    <row r="9" customFormat="false" ht="15" hidden="false" customHeight="false" outlineLevel="0" collapsed="false">
      <c r="A9" s="12" t="s">
        <v>180</v>
      </c>
      <c r="C9" s="26" t="n">
        <f aca="false">C8/B8-1</f>
        <v>0.470909617193719</v>
      </c>
      <c r="D9" s="26" t="n">
        <f aca="false">D8/C8-1</f>
        <v>0.37352716896662</v>
      </c>
      <c r="E9" s="26" t="n">
        <f aca="false">E8/D8-1</f>
        <v>0.266109101328844</v>
      </c>
      <c r="F9" s="26" t="n">
        <f aca="false">F8/E8-1</f>
        <v>0.215963902287226</v>
      </c>
      <c r="G9" s="26" t="n">
        <f aca="false">G8/F8-1</f>
        <v>0.371825743034956</v>
      </c>
      <c r="H9" s="26" t="n">
        <f aca="false">H8/G8-1</f>
        <v>-0.0111931755547829</v>
      </c>
      <c r="I9" s="26" t="n">
        <f aca="false">I8/H8-1</f>
        <v>0.156874683772265</v>
      </c>
      <c r="J9" s="26" t="n">
        <f aca="false">J8/I8-1</f>
        <v>0.219411128078161</v>
      </c>
      <c r="K9" s="26" t="n">
        <f aca="false">K8/J8-1</f>
        <v>0.221670384982462</v>
      </c>
      <c r="M9" s="26" t="n">
        <f aca="false">M8/L8-1</f>
        <v>0.17416658269331</v>
      </c>
      <c r="N9" s="26" t="n">
        <f aca="false">N8/M8-1</f>
        <v>0.14</v>
      </c>
      <c r="O9" s="26" t="n">
        <f aca="false">O8/N8-1</f>
        <v>0.11</v>
      </c>
      <c r="P9" s="26" t="n">
        <f aca="false">P8/O8-1</f>
        <v>0.0900000000000001</v>
      </c>
      <c r="Q9" s="26" t="n">
        <f aca="false">Q8/P8-1</f>
        <v>0.0800000000000001</v>
      </c>
    </row>
    <row r="10" customFormat="false" ht="15" hidden="false" customHeight="false" outlineLevel="0" collapsed="false">
      <c r="A10" s="12" t="s">
        <v>181</v>
      </c>
      <c r="B10" s="48" t="n">
        <v>3789</v>
      </c>
      <c r="C10" s="48" t="n">
        <v>5454</v>
      </c>
      <c r="D10" s="48" t="n">
        <v>9355</v>
      </c>
      <c r="E10" s="48" t="n">
        <v>12770</v>
      </c>
      <c r="F10" s="48" t="n">
        <v>16692</v>
      </c>
      <c r="G10" s="48" t="n">
        <v>22649</v>
      </c>
      <c r="H10" s="48" t="n">
        <v>25249</v>
      </c>
      <c r="I10" s="48" t="n">
        <v>25959</v>
      </c>
      <c r="J10" s="48" t="n">
        <v>30161</v>
      </c>
      <c r="K10" s="48" t="n">
        <v>36175</v>
      </c>
      <c r="M10" s="50" t="n">
        <f aca="false">M8-M11</f>
        <v>58960</v>
      </c>
      <c r="N10" s="50" t="n">
        <f aca="false">N8-N11</f>
        <v>67978.2</v>
      </c>
      <c r="O10" s="50" t="n">
        <f aca="false">O8-O11</f>
        <v>76303.62</v>
      </c>
      <c r="P10" s="50" t="n">
        <f aca="false">P8-P11</f>
        <v>84095.06742</v>
      </c>
      <c r="Q10" s="50" t="n">
        <f aca="false">Q8-Q11</f>
        <v>91820.7241632</v>
      </c>
    </row>
    <row r="11" customFormat="false" ht="15" hidden="false" customHeight="false" outlineLevel="0" collapsed="false">
      <c r="A11" s="7" t="s">
        <v>182</v>
      </c>
      <c r="B11" s="51" t="n">
        <f aca="false">B8-B10</f>
        <v>23849</v>
      </c>
      <c r="C11" s="51" t="n">
        <f aca="false">C8-C10</f>
        <v>35199</v>
      </c>
      <c r="D11" s="51" t="n">
        <f aca="false">D8-D10</f>
        <v>46483</v>
      </c>
      <c r="E11" s="51" t="n">
        <f aca="false">E8-E10</f>
        <v>57927</v>
      </c>
      <c r="F11" s="51" t="n">
        <f aca="false">F8-F10</f>
        <v>69273</v>
      </c>
      <c r="G11" s="51" t="n">
        <f aca="false">G8-G10</f>
        <v>95280</v>
      </c>
      <c r="H11" s="51" t="n">
        <f aca="false">H8-H10</f>
        <v>91360</v>
      </c>
      <c r="I11" s="51" t="n">
        <f aca="false">I8-I10</f>
        <v>108943</v>
      </c>
      <c r="J11" s="51" t="n">
        <f aca="false">J8-J10</f>
        <v>134340</v>
      </c>
      <c r="K11" s="51" t="n">
        <f aca="false">K8-K10</f>
        <v>164791</v>
      </c>
      <c r="L11" s="48" t="n">
        <v>186586</v>
      </c>
      <c r="M11" s="51" t="n">
        <f aca="false">M8*M12</f>
        <v>209040</v>
      </c>
      <c r="N11" s="51" t="n">
        <f aca="false">N8*N12</f>
        <v>237541.8</v>
      </c>
      <c r="O11" s="51" t="n">
        <f aca="false">O8*O12</f>
        <v>262823.58</v>
      </c>
      <c r="P11" s="51" t="n">
        <f aca="false">P8*P12</f>
        <v>285553.58058</v>
      </c>
      <c r="Q11" s="51" t="n">
        <f aca="false">Q8*Q12</f>
        <v>307399.8156768</v>
      </c>
    </row>
    <row r="12" customFormat="false" ht="15" hidden="false" customHeight="false" outlineLevel="0" collapsed="false">
      <c r="A12" s="12" t="s">
        <v>183</v>
      </c>
      <c r="B12" s="26" t="n">
        <f aca="false">B11/B8</f>
        <v>0.862906143715175</v>
      </c>
      <c r="C12" s="26" t="n">
        <f aca="false">C11/C8</f>
        <v>0.86584015939783</v>
      </c>
      <c r="D12" s="26" t="n">
        <f aca="false">D11/D8</f>
        <v>0.832461764389842</v>
      </c>
      <c r="E12" s="26" t="n">
        <f aca="false">E11/E8</f>
        <v>0.819369987411064</v>
      </c>
      <c r="F12" s="26" t="n">
        <f aca="false">F11/F8</f>
        <v>0.805827953236782</v>
      </c>
      <c r="G12" s="26" t="n">
        <f aca="false">G11/G8</f>
        <v>0.807943762772516</v>
      </c>
      <c r="H12" s="26" t="n">
        <f aca="false">H11/H8</f>
        <v>0.783472973784185</v>
      </c>
      <c r="I12" s="26" t="n">
        <f aca="false">I11/I8</f>
        <v>0.80757142221761</v>
      </c>
      <c r="J12" s="26" t="n">
        <f aca="false">J11/J8</f>
        <v>0.81665157050717</v>
      </c>
      <c r="K12" s="26" t="n">
        <f aca="false">K11/K8</f>
        <v>0.819994426917986</v>
      </c>
      <c r="L12" s="26" t="n">
        <f aca="false">L11/L8</f>
        <v>0.817474052232888</v>
      </c>
      <c r="M12" s="26" t="n">
        <f aca="false">$B$40+($B$41-$B$40)*(M$7-1)/4</f>
        <v>0.78</v>
      </c>
      <c r="N12" s="26" t="n">
        <f aca="false">$B$40+($B$41-$B$40)*(N$7-1)/4</f>
        <v>0.7775</v>
      </c>
      <c r="O12" s="26" t="n">
        <f aca="false">$B$40+($B$41-$B$40)*(O$7-1)/4</f>
        <v>0.775</v>
      </c>
      <c r="P12" s="26" t="n">
        <f aca="false">$B$40+($B$41-$B$40)*(P$7-1)/4</f>
        <v>0.7725</v>
      </c>
      <c r="Q12" s="26" t="n">
        <f aca="false">$B$40+($B$41-$B$40)*(Q$7-1)/4</f>
        <v>0.77</v>
      </c>
    </row>
    <row r="13" customFormat="false" ht="15" hidden="false" customHeight="false" outlineLevel="0" collapsed="false">
      <c r="A13" s="12" t="s">
        <v>184</v>
      </c>
      <c r="B13" s="48" t="n">
        <v>5919</v>
      </c>
      <c r="C13" s="48" t="n">
        <v>7754</v>
      </c>
      <c r="D13" s="48" t="n">
        <v>10273</v>
      </c>
      <c r="E13" s="48" t="n">
        <v>13600</v>
      </c>
      <c r="F13" s="48" t="n">
        <v>18447</v>
      </c>
      <c r="G13" s="48" t="n">
        <v>24655</v>
      </c>
      <c r="H13" s="48" t="n">
        <v>35338</v>
      </c>
      <c r="I13" s="48" t="n">
        <v>38483</v>
      </c>
      <c r="J13" s="48" t="n">
        <v>43873</v>
      </c>
      <c r="K13" s="48" t="n">
        <v>57372</v>
      </c>
      <c r="M13" s="50" t="n">
        <f aca="false">M16*$B$42</f>
        <v>82544</v>
      </c>
      <c r="N13" s="50" t="n">
        <f aca="false">N16*$B$42</f>
        <v>92496.18</v>
      </c>
      <c r="O13" s="50" t="n">
        <f aca="false">O16*$B$42</f>
        <v>100890.342</v>
      </c>
      <c r="P13" s="50" t="n">
        <f aca="false">P16*$B$42</f>
        <v>108029.817378</v>
      </c>
      <c r="Q13" s="50" t="n">
        <f aca="false">Q16*$B$42</f>
        <v>114576.29493408</v>
      </c>
    </row>
    <row r="14" customFormat="false" ht="15" hidden="false" customHeight="false" outlineLevel="0" collapsed="false">
      <c r="A14" s="12" t="s">
        <v>185</v>
      </c>
      <c r="B14" s="48" t="n">
        <f aca="false">3772+1731</f>
        <v>5503</v>
      </c>
      <c r="C14" s="48" t="n">
        <f aca="false">4725+2517</f>
        <v>7242</v>
      </c>
      <c r="D14" s="48" t="n">
        <f aca="false">7846+3451</f>
        <v>11297</v>
      </c>
      <c r="E14" s="48" t="n">
        <f aca="false">9876+10465</f>
        <v>20341</v>
      </c>
      <c r="F14" s="48" t="n">
        <f aca="false">11591+6564</f>
        <v>18155</v>
      </c>
      <c r="G14" s="48" t="n">
        <f aca="false">14043+9829</f>
        <v>23872</v>
      </c>
      <c r="H14" s="48" t="n">
        <f aca="false">15262+11816</f>
        <v>27078</v>
      </c>
      <c r="I14" s="48" t="n">
        <f aca="false">12301+11408</f>
        <v>23709</v>
      </c>
      <c r="J14" s="48" t="n">
        <f aca="false">11347+9740</f>
        <v>21087</v>
      </c>
      <c r="K14" s="48" t="n">
        <f aca="false">11991+12152</f>
        <v>24143</v>
      </c>
      <c r="M14" s="50" t="n">
        <f aca="false">M16-M13</f>
        <v>35376</v>
      </c>
      <c r="N14" s="50" t="n">
        <f aca="false">N16-N13</f>
        <v>39641.22</v>
      </c>
      <c r="O14" s="50" t="n">
        <f aca="false">O16-O13</f>
        <v>43238.718</v>
      </c>
      <c r="P14" s="50" t="n">
        <f aca="false">P16-P13</f>
        <v>46298.493162</v>
      </c>
      <c r="Q14" s="50" t="n">
        <f aca="false">Q16-Q13</f>
        <v>49104.12640032</v>
      </c>
    </row>
    <row r="15" customFormat="false" ht="15" hidden="false" customHeight="false" outlineLevel="0" collapsed="false">
      <c r="A15" s="12" t="s">
        <v>186</v>
      </c>
      <c r="B15" s="48" t="n">
        <v>0</v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</row>
    <row r="16" customFormat="false" ht="15" hidden="false" customHeight="false" outlineLevel="0" collapsed="false">
      <c r="A16" s="12" t="s">
        <v>187</v>
      </c>
      <c r="B16" s="50" t="n">
        <f aca="false">SUM(B13:B15)</f>
        <v>11422</v>
      </c>
      <c r="C16" s="50" t="n">
        <f aca="false">SUM(C13:C15)</f>
        <v>14996</v>
      </c>
      <c r="D16" s="50" t="n">
        <f aca="false">SUM(D13:D15)</f>
        <v>21570</v>
      </c>
      <c r="E16" s="50" t="n">
        <f aca="false">SUM(E13:E15)</f>
        <v>33941</v>
      </c>
      <c r="F16" s="50" t="n">
        <f aca="false">SUM(F13:F15)</f>
        <v>36602</v>
      </c>
      <c r="G16" s="50" t="n">
        <f aca="false">SUM(G13:G15)</f>
        <v>48527</v>
      </c>
      <c r="H16" s="50" t="n">
        <f aca="false">SUM(H13:H15)</f>
        <v>62416</v>
      </c>
      <c r="I16" s="50" t="n">
        <f aca="false">SUM(I13:I15)</f>
        <v>62192</v>
      </c>
      <c r="J16" s="50" t="n">
        <f aca="false">SUM(J13:J15)</f>
        <v>64960</v>
      </c>
      <c r="K16" s="50" t="n">
        <f aca="false">SUM(K13:K15)</f>
        <v>81515</v>
      </c>
      <c r="M16" s="50" t="n">
        <f aca="false">M11-M17</f>
        <v>117920</v>
      </c>
      <c r="N16" s="50" t="n">
        <f aca="false">N11-N17</f>
        <v>132137.4</v>
      </c>
      <c r="O16" s="50" t="n">
        <f aca="false">O11-O17</f>
        <v>144129.06</v>
      </c>
      <c r="P16" s="50" t="n">
        <f aca="false">P11-P17</f>
        <v>154328.31054</v>
      </c>
      <c r="Q16" s="50" t="n">
        <f aca="false">Q11-Q17</f>
        <v>163680.4213344</v>
      </c>
    </row>
    <row r="17" customFormat="false" ht="15" hidden="false" customHeight="false" outlineLevel="0" collapsed="false">
      <c r="A17" s="7" t="s">
        <v>188</v>
      </c>
      <c r="B17" s="51" t="n">
        <f aca="false">B11-B16</f>
        <v>12427</v>
      </c>
      <c r="C17" s="51" t="n">
        <f aca="false">C11-C16</f>
        <v>20203</v>
      </c>
      <c r="D17" s="51" t="n">
        <f aca="false">D11-D16</f>
        <v>24913</v>
      </c>
      <c r="E17" s="51" t="n">
        <f aca="false">E11-E16</f>
        <v>23986</v>
      </c>
      <c r="F17" s="51" t="n">
        <f aca="false">F11-F16</f>
        <v>32671</v>
      </c>
      <c r="G17" s="51" t="n">
        <f aca="false">G11-G16</f>
        <v>46753</v>
      </c>
      <c r="H17" s="51" t="n">
        <f aca="false">H11-H16</f>
        <v>28944</v>
      </c>
      <c r="I17" s="51" t="n">
        <f aca="false">I11-I16</f>
        <v>46751</v>
      </c>
      <c r="J17" s="51" t="n">
        <f aca="false">J11-J16</f>
        <v>69380</v>
      </c>
      <c r="K17" s="51" t="n">
        <f aca="false">K11-K16</f>
        <v>83276</v>
      </c>
      <c r="L17" s="48" t="n">
        <v>86926</v>
      </c>
      <c r="M17" s="51" t="n">
        <f aca="false">M8*M18</f>
        <v>91120</v>
      </c>
      <c r="N17" s="51" t="n">
        <f aca="false">N8*N18</f>
        <v>105404.4</v>
      </c>
      <c r="O17" s="51" t="n">
        <f aca="false">O8*O18</f>
        <v>118694.52</v>
      </c>
      <c r="P17" s="51" t="n">
        <f aca="false">P8*P18</f>
        <v>131225.27004</v>
      </c>
      <c r="Q17" s="51" t="n">
        <f aca="false">Q8*Q18</f>
        <v>143719.3943424</v>
      </c>
    </row>
    <row r="18" customFormat="false" ht="15" hidden="false" customHeight="false" outlineLevel="0" collapsed="false">
      <c r="A18" s="12" t="s">
        <v>189</v>
      </c>
      <c r="B18" s="26" t="n">
        <f aca="false">B17/B8</f>
        <v>0.449634561111513</v>
      </c>
      <c r="C18" s="26" t="n">
        <f aca="false">C17/C8</f>
        <v>0.496962093818414</v>
      </c>
      <c r="D18" s="26" t="n">
        <f aca="false">D17/D8</f>
        <v>0.446165693613668</v>
      </c>
      <c r="E18" s="26" t="n">
        <f aca="false">E17/E8</f>
        <v>0.339278894436822</v>
      </c>
      <c r="F18" s="26" t="n">
        <f aca="false">F17/F8</f>
        <v>0.380050020357122</v>
      </c>
      <c r="G18" s="26" t="n">
        <f aca="false">G17/G8</f>
        <v>0.396450406600582</v>
      </c>
      <c r="H18" s="26" t="n">
        <f aca="false">H17/H8</f>
        <v>0.248214117263676</v>
      </c>
      <c r="I18" s="26" t="n">
        <f aca="false">I17/I8</f>
        <v>0.346555277164164</v>
      </c>
      <c r="J18" s="26" t="n">
        <f aca="false">J17/J8</f>
        <v>0.421760354040401</v>
      </c>
      <c r="K18" s="26" t="n">
        <f aca="false">K17/K8</f>
        <v>0.414378551595792</v>
      </c>
      <c r="L18" s="26" t="n">
        <f aca="false">L17/L8</f>
        <v>0.380841807340294</v>
      </c>
      <c r="M18" s="15" t="n">
        <f aca="false">META!C84</f>
        <v>0.34</v>
      </c>
      <c r="N18" s="15" t="n">
        <f aca="false">META!D84</f>
        <v>0.345</v>
      </c>
      <c r="O18" s="15" t="n">
        <f aca="false">META!E84</f>
        <v>0.35</v>
      </c>
      <c r="P18" s="15" t="n">
        <f aca="false">META!F84</f>
        <v>0.355</v>
      </c>
      <c r="Q18" s="15" t="n">
        <f aca="false">META!G84</f>
        <v>0.36</v>
      </c>
    </row>
    <row r="19" customFormat="false" ht="15" hidden="false" customHeight="false" outlineLevel="0" collapsed="false">
      <c r="A19" s="12" t="s">
        <v>190</v>
      </c>
      <c r="B19" s="48" t="n">
        <v>91</v>
      </c>
      <c r="C19" s="48" t="n">
        <v>391</v>
      </c>
      <c r="D19" s="48" t="n">
        <v>448</v>
      </c>
      <c r="E19" s="48" t="n">
        <v>826</v>
      </c>
      <c r="F19" s="48" t="n">
        <v>509</v>
      </c>
      <c r="G19" s="48" t="n">
        <v>531</v>
      </c>
      <c r="H19" s="48" t="n">
        <v>-125</v>
      </c>
      <c r="I19" s="48" t="n">
        <v>677</v>
      </c>
      <c r="J19" s="48" t="n">
        <v>1283</v>
      </c>
      <c r="K19" s="48" t="n">
        <v>2656</v>
      </c>
      <c r="M19" s="50" t="n">
        <f aca="false">M8*$B$43</f>
        <v>2144</v>
      </c>
      <c r="N19" s="50" t="n">
        <f aca="false">N8*$B$43</f>
        <v>2444.16</v>
      </c>
      <c r="O19" s="50" t="n">
        <f aca="false">O8*$B$43</f>
        <v>2713.0176</v>
      </c>
      <c r="P19" s="50" t="n">
        <f aca="false">P8*$B$43</f>
        <v>2957.189184</v>
      </c>
      <c r="Q19" s="50" t="n">
        <f aca="false">Q8*$B$43</f>
        <v>3193.76431872</v>
      </c>
    </row>
    <row r="20" customFormat="false" ht="15" hidden="false" customHeight="false" outlineLevel="0" collapsed="false">
      <c r="A20" s="12" t="s">
        <v>191</v>
      </c>
      <c r="B20" s="50" t="n">
        <f aca="false">B17+B19</f>
        <v>12518</v>
      </c>
      <c r="C20" s="50" t="n">
        <f aca="false">C17+C19</f>
        <v>20594</v>
      </c>
      <c r="D20" s="50" t="n">
        <f aca="false">D17+D19</f>
        <v>25361</v>
      </c>
      <c r="E20" s="50" t="n">
        <f aca="false">E17+E19</f>
        <v>24812</v>
      </c>
      <c r="F20" s="50" t="n">
        <f aca="false">F17+F19</f>
        <v>33180</v>
      </c>
      <c r="G20" s="50" t="n">
        <f aca="false">G17+G19</f>
        <v>47284</v>
      </c>
      <c r="H20" s="50" t="n">
        <f aca="false">H17+H19</f>
        <v>28819</v>
      </c>
      <c r="I20" s="50" t="n">
        <f aca="false">I17+I19</f>
        <v>47428</v>
      </c>
      <c r="J20" s="50" t="n">
        <f aca="false">J17+J19</f>
        <v>70663</v>
      </c>
      <c r="K20" s="50" t="n">
        <f aca="false">K17+K19</f>
        <v>85932</v>
      </c>
      <c r="M20" s="50" t="n">
        <f aca="false">M17+M19</f>
        <v>93264</v>
      </c>
      <c r="N20" s="50" t="n">
        <f aca="false">N17+N19</f>
        <v>107848.56</v>
      </c>
      <c r="O20" s="50" t="n">
        <f aca="false">O17+O19</f>
        <v>121407.5376</v>
      </c>
      <c r="P20" s="50" t="n">
        <f aca="false">P17+P19</f>
        <v>134182.459224</v>
      </c>
      <c r="Q20" s="50" t="n">
        <f aca="false">Q17+Q19</f>
        <v>146913.15866112</v>
      </c>
    </row>
    <row r="21" customFormat="false" ht="15" hidden="false" customHeight="false" outlineLevel="0" collapsed="false">
      <c r="A21" s="12" t="s">
        <v>192</v>
      </c>
      <c r="B21" s="48" t="n">
        <v>2301</v>
      </c>
      <c r="C21" s="48" t="n">
        <v>4660</v>
      </c>
      <c r="D21" s="48" t="n">
        <v>3249</v>
      </c>
      <c r="E21" s="48" t="n">
        <v>6327</v>
      </c>
      <c r="F21" s="48" t="n">
        <v>4034</v>
      </c>
      <c r="G21" s="48" t="n">
        <v>7914</v>
      </c>
      <c r="H21" s="48" t="n">
        <v>5619</v>
      </c>
      <c r="I21" s="48" t="n">
        <v>8330</v>
      </c>
      <c r="J21" s="48" t="n">
        <v>8303</v>
      </c>
      <c r="K21" s="48" t="n">
        <v>25474</v>
      </c>
      <c r="M21" s="50" t="n">
        <f aca="false">M20*$B$45</f>
        <v>13989.6</v>
      </c>
      <c r="N21" s="50" t="n">
        <f aca="false">N20*$B$45</f>
        <v>16177.284</v>
      </c>
      <c r="O21" s="50" t="n">
        <f aca="false">O20*$B$45</f>
        <v>18211.13064</v>
      </c>
      <c r="P21" s="50" t="n">
        <f aca="false">P20*$B$45</f>
        <v>20127.3688836</v>
      </c>
      <c r="Q21" s="50" t="n">
        <f aca="false">Q20*$B$45</f>
        <v>22036.973799168</v>
      </c>
    </row>
    <row r="22" customFormat="false" ht="15" hidden="false" customHeight="false" outlineLevel="0" collapsed="false">
      <c r="A22" s="12" t="s">
        <v>193</v>
      </c>
      <c r="B22" s="26" t="n">
        <f aca="false">B21/B20</f>
        <v>0.183815305959418</v>
      </c>
      <c r="C22" s="26" t="n">
        <f aca="false">C21/C20</f>
        <v>0.22627949888317</v>
      </c>
      <c r="D22" s="26" t="n">
        <f aca="false">D21/D20</f>
        <v>0.128110090296124</v>
      </c>
      <c r="E22" s="26" t="n">
        <f aca="false">E21/E20</f>
        <v>0.254997581815251</v>
      </c>
      <c r="F22" s="26" t="n">
        <f aca="false">F21/F20</f>
        <v>0.121579264617239</v>
      </c>
      <c r="G22" s="26" t="n">
        <f aca="false">G21/G20</f>
        <v>0.167371626765925</v>
      </c>
      <c r="H22" s="26" t="n">
        <f aca="false">H21/H20</f>
        <v>0.194975536972136</v>
      </c>
      <c r="I22" s="26" t="n">
        <f aca="false">I21/I20</f>
        <v>0.175634646200557</v>
      </c>
      <c r="J22" s="26" t="n">
        <f aca="false">J21/J20</f>
        <v>0.117501379788574</v>
      </c>
      <c r="K22" s="26" t="n">
        <f aca="false">K21/K20</f>
        <v>0.296443699669506</v>
      </c>
      <c r="M22" s="26" t="n">
        <f aca="false">M21/M20</f>
        <v>0.15</v>
      </c>
      <c r="N22" s="26" t="n">
        <f aca="false">N21/N20</f>
        <v>0.15</v>
      </c>
      <c r="O22" s="26" t="n">
        <f aca="false">O21/O20</f>
        <v>0.15</v>
      </c>
      <c r="P22" s="26" t="n">
        <f aca="false">P21/P20</f>
        <v>0.15</v>
      </c>
      <c r="Q22" s="26" t="n">
        <f aca="false">Q21/Q20</f>
        <v>0.15</v>
      </c>
    </row>
    <row r="23" customFormat="false" ht="15" hidden="false" customHeight="false" outlineLevel="0" collapsed="false">
      <c r="A23" s="7" t="s">
        <v>194</v>
      </c>
      <c r="B23" s="51" t="n">
        <f aca="false">B20-B21</f>
        <v>10217</v>
      </c>
      <c r="C23" s="51" t="n">
        <f aca="false">C20-C21</f>
        <v>15934</v>
      </c>
      <c r="D23" s="51" t="n">
        <f aca="false">D20-D21</f>
        <v>22112</v>
      </c>
      <c r="E23" s="51" t="n">
        <f aca="false">E20-E21</f>
        <v>18485</v>
      </c>
      <c r="F23" s="51" t="n">
        <f aca="false">F20-F21</f>
        <v>29146</v>
      </c>
      <c r="G23" s="51" t="n">
        <f aca="false">G20-G21</f>
        <v>39370</v>
      </c>
      <c r="H23" s="51" t="n">
        <f aca="false">H20-H21</f>
        <v>23200</v>
      </c>
      <c r="I23" s="51" t="n">
        <f aca="false">I20-I21</f>
        <v>39098</v>
      </c>
      <c r="J23" s="51" t="n">
        <f aca="false">J20-J21</f>
        <v>62360</v>
      </c>
      <c r="K23" s="51" t="n">
        <f aca="false">K20-K21</f>
        <v>60458</v>
      </c>
      <c r="L23" s="48" t="n">
        <v>68098</v>
      </c>
      <c r="M23" s="51" t="n">
        <f aca="false">M20-M21</f>
        <v>79274.4</v>
      </c>
      <c r="N23" s="51" t="n">
        <f aca="false">N20-N21</f>
        <v>91671.276</v>
      </c>
      <c r="O23" s="51" t="n">
        <f aca="false">O20-O21</f>
        <v>103196.40696</v>
      </c>
      <c r="P23" s="51" t="n">
        <f aca="false">P20-P21</f>
        <v>114055.0903404</v>
      </c>
      <c r="Q23" s="51" t="n">
        <f aca="false">Q20-Q21</f>
        <v>124876.184861952</v>
      </c>
    </row>
    <row r="24" customFormat="false" ht="15" hidden="false" customHeight="false" outlineLevel="0" collapsed="false">
      <c r="A24" s="12" t="s">
        <v>195</v>
      </c>
      <c r="B24" s="26" t="n">
        <f aca="false">B23/B8</f>
        <v>0.369672190462407</v>
      </c>
      <c r="C24" s="26" t="n">
        <f aca="false">C23/C8</f>
        <v>0.391951393501095</v>
      </c>
      <c r="D24" s="26" t="n">
        <f aca="false">D23/D8</f>
        <v>0.396002722160536</v>
      </c>
      <c r="E24" s="26" t="n">
        <f aca="false">E23/E8</f>
        <v>0.26146795479299</v>
      </c>
      <c r="F24" s="26" t="n">
        <f aca="false">F23/F8</f>
        <v>0.339044960158204</v>
      </c>
      <c r="G24" s="26" t="n">
        <f aca="false">G23/G8</f>
        <v>0.333844940599853</v>
      </c>
      <c r="H24" s="26" t="n">
        <f aca="false">H23/H8</f>
        <v>0.19895548371052</v>
      </c>
      <c r="I24" s="26" t="n">
        <f aca="false">I23/I8</f>
        <v>0.289825206446161</v>
      </c>
      <c r="J24" s="26" t="n">
        <f aca="false">J23/J8</f>
        <v>0.379085841423456</v>
      </c>
      <c r="K24" s="26" t="n">
        <f aca="false">K23/K8</f>
        <v>0.300836957495298</v>
      </c>
      <c r="L24" s="26" t="n">
        <f aca="false">L23/L8</f>
        <v>0.298352223687496</v>
      </c>
      <c r="M24" s="26" t="n">
        <f aca="false">M23/M8</f>
        <v>0.2958</v>
      </c>
      <c r="N24" s="26" t="n">
        <f aca="false">N23/N8</f>
        <v>0.30005</v>
      </c>
      <c r="O24" s="26" t="n">
        <f aca="false">O23/O8</f>
        <v>0.3043</v>
      </c>
      <c r="P24" s="26" t="n">
        <f aca="false">P23/P8</f>
        <v>0.30855</v>
      </c>
      <c r="Q24" s="26" t="n">
        <f aca="false">Q23/Q8</f>
        <v>0.3128</v>
      </c>
    </row>
    <row r="25" customFormat="false" ht="15" hidden="false" customHeight="false" outlineLevel="0" collapsed="false">
      <c r="A25" s="12" t="s">
        <v>196</v>
      </c>
      <c r="B25" s="48" t="n">
        <v>2925</v>
      </c>
      <c r="C25" s="48" t="n">
        <v>2956</v>
      </c>
      <c r="D25" s="48" t="n">
        <v>2921</v>
      </c>
      <c r="E25" s="48" t="n">
        <v>2876</v>
      </c>
      <c r="F25" s="48" t="n">
        <v>2888</v>
      </c>
      <c r="G25" s="48" t="n">
        <v>2859</v>
      </c>
      <c r="H25" s="48" t="n">
        <v>2702</v>
      </c>
      <c r="I25" s="48" t="n">
        <v>2629</v>
      </c>
      <c r="J25" s="48" t="n">
        <v>2614</v>
      </c>
      <c r="K25" s="48" t="n">
        <v>2574</v>
      </c>
      <c r="M25" s="50" t="n">
        <f aca="false">$K$25*(1+$B$44)^M$7</f>
        <v>2574</v>
      </c>
      <c r="N25" s="50" t="n">
        <f aca="false">$K$25*(1+$B$44)^N$7</f>
        <v>2574</v>
      </c>
      <c r="O25" s="50" t="n">
        <f aca="false">$K$25*(1+$B$44)^O$7</f>
        <v>2574</v>
      </c>
      <c r="P25" s="50" t="n">
        <f aca="false">$K$25*(1+$B$44)^P$7</f>
        <v>2574</v>
      </c>
      <c r="Q25" s="50" t="n">
        <f aca="false">$K$25*(1+$B$44)^Q$7</f>
        <v>2574</v>
      </c>
    </row>
    <row r="26" customFormat="false" ht="15" hidden="false" customHeight="false" outlineLevel="0" collapsed="false">
      <c r="A26" s="7" t="s">
        <v>197</v>
      </c>
      <c r="B26" s="34" t="n">
        <f aca="false">B23/B25</f>
        <v>3.49299145299145</v>
      </c>
      <c r="C26" s="34" t="n">
        <f aca="false">C23/C25</f>
        <v>5.39039242219215</v>
      </c>
      <c r="D26" s="34" t="n">
        <f aca="false">D23/D25</f>
        <v>7.57001027045532</v>
      </c>
      <c r="E26" s="34" t="n">
        <f aca="false">E23/E25</f>
        <v>6.42732962447844</v>
      </c>
      <c r="F26" s="34" t="n">
        <f aca="false">F23/F25</f>
        <v>10.0921052631579</v>
      </c>
      <c r="G26" s="34" t="n">
        <f aca="false">G23/G25</f>
        <v>13.770549143057</v>
      </c>
      <c r="H26" s="34" t="n">
        <f aca="false">H23/H25</f>
        <v>8.58623242042931</v>
      </c>
      <c r="I26" s="34" t="n">
        <f aca="false">I23/I25</f>
        <v>14.8718143780905</v>
      </c>
      <c r="J26" s="34" t="n">
        <f aca="false">J23/J25</f>
        <v>23.8561591430757</v>
      </c>
      <c r="K26" s="34" t="n">
        <f aca="false">K23/K25</f>
        <v>23.4879564879565</v>
      </c>
      <c r="L26" s="18" t="n">
        <v>26.54</v>
      </c>
      <c r="M26" s="34" t="n">
        <f aca="false">M23/M25</f>
        <v>30.7981351981352</v>
      </c>
      <c r="N26" s="34" t="n">
        <f aca="false">N23/N25</f>
        <v>35.6143263403264</v>
      </c>
      <c r="O26" s="34" t="n">
        <f aca="false">O23/O25</f>
        <v>40.0918441958042</v>
      </c>
      <c r="P26" s="34" t="n">
        <f aca="false">P23/P25</f>
        <v>44.3104469076923</v>
      </c>
      <c r="Q26" s="34" t="n">
        <f aca="false">Q23/Q25</f>
        <v>48.5144463333147</v>
      </c>
    </row>
    <row r="27" customFormat="false" ht="15" hidden="false" customHeight="false" outlineLevel="0" collapsed="false">
      <c r="A27" s="12" t="s">
        <v>198</v>
      </c>
      <c r="C27" s="26" t="n">
        <f aca="false">C26/B26-1</f>
        <v>0.543202293717534</v>
      </c>
      <c r="D27" s="26" t="n">
        <f aca="false">D26/C26-1</f>
        <v>0.404352350914142</v>
      </c>
      <c r="E27" s="26" t="n">
        <f aca="false">E26/D26-1</f>
        <v>-0.15094836138289</v>
      </c>
      <c r="F27" s="26" t="n">
        <f aca="false">F26/E26-1</f>
        <v>0.570186353088564</v>
      </c>
      <c r="G27" s="26" t="n">
        <f aca="false">G26/F26-1</f>
        <v>0.364487268412429</v>
      </c>
      <c r="H27" s="26" t="n">
        <f aca="false">H26/G26-1</f>
        <v>-0.376478575310963</v>
      </c>
      <c r="I27" s="26" t="n">
        <f aca="false">I26/H26-1</f>
        <v>0.732053553862095</v>
      </c>
      <c r="J27" s="26" t="n">
        <f aca="false">J26/I26-1</f>
        <v>0.604118941816618</v>
      </c>
      <c r="K27" s="26" t="n">
        <f aca="false">K26/J26-1</f>
        <v>-0.0154342806363332</v>
      </c>
      <c r="M27" s="26" t="n">
        <f aca="false">M26/L26-1</f>
        <v>0.160442170238704</v>
      </c>
      <c r="N27" s="26" t="n">
        <f aca="false">N26/M26-1</f>
        <v>0.156379310344828</v>
      </c>
      <c r="O27" s="26" t="n">
        <f aca="false">O26/N26-1</f>
        <v>0.1257223796034</v>
      </c>
      <c r="P27" s="26" t="n">
        <f aca="false">P26/O26-1</f>
        <v>0.105223463687151</v>
      </c>
      <c r="Q27" s="26" t="n">
        <f aca="false">Q26/P26-1</f>
        <v>0.0948760330578513</v>
      </c>
    </row>
    <row r="28" customFormat="false" ht="15" hidden="false" customHeight="false" outlineLevel="0" collapsed="false">
      <c r="A28" s="12" t="s">
        <v>199</v>
      </c>
      <c r="B28" s="48" t="n">
        <v>11617</v>
      </c>
      <c r="C28" s="48" t="n">
        <v>17483</v>
      </c>
      <c r="D28" s="48" t="n">
        <v>15359</v>
      </c>
      <c r="E28" s="48" t="n">
        <v>20656</v>
      </c>
      <c r="F28" s="48" t="n">
        <v>23028</v>
      </c>
      <c r="G28" s="48" t="n">
        <v>38439</v>
      </c>
      <c r="H28" s="48" t="n">
        <v>18439</v>
      </c>
      <c r="I28" s="48" t="n">
        <v>43010</v>
      </c>
      <c r="J28" s="48" t="n">
        <v>52103</v>
      </c>
      <c r="K28" s="48" t="n">
        <v>43585</v>
      </c>
      <c r="L28" s="48" t="n">
        <v>41070</v>
      </c>
      <c r="M28" s="49" t="n">
        <f aca="false">META!C89*1000</f>
        <v>42598.6</v>
      </c>
      <c r="N28" s="49" t="n">
        <f aca="false">META!D89*1000</f>
        <v>53756.244</v>
      </c>
      <c r="O28" s="49" t="n">
        <f aca="false">META!E89*1000</f>
        <v>65578.7223</v>
      </c>
      <c r="P28" s="49" t="n">
        <f aca="false">META!F89*1000</f>
        <v>78079.0356738</v>
      </c>
      <c r="Q28" s="49" t="n">
        <f aca="false">META!G89*1000</f>
        <v>91621.11389328</v>
      </c>
    </row>
    <row r="29" customFormat="false" ht="15" hidden="false" customHeight="false" outlineLevel="0" collapsed="false">
      <c r="A29" s="12" t="s">
        <v>200</v>
      </c>
      <c r="B29" s="26" t="n">
        <f aca="false">B28/B8</f>
        <v>0.42032708589623</v>
      </c>
      <c r="C29" s="26" t="n">
        <f aca="false">C28/C8</f>
        <v>0.43005436253167</v>
      </c>
      <c r="D29" s="26" t="n">
        <f aca="false">D28/D8</f>
        <v>0.275063576775673</v>
      </c>
      <c r="E29" s="26" t="n">
        <f aca="false">E28/E8</f>
        <v>0.292176471420287</v>
      </c>
      <c r="F29" s="26" t="n">
        <f aca="false">F28/F8</f>
        <v>0.26787646135055</v>
      </c>
      <c r="G29" s="26" t="n">
        <f aca="false">G28/G8</f>
        <v>0.32595035996235</v>
      </c>
      <c r="H29" s="26" t="n">
        <f aca="false">H28/H8</f>
        <v>0.158126731212857</v>
      </c>
      <c r="I29" s="26" t="n">
        <f aca="false">I28/I8</f>
        <v>0.318824035225571</v>
      </c>
      <c r="J29" s="26" t="n">
        <f aca="false">J28/J8</f>
        <v>0.316733636877587</v>
      </c>
      <c r="K29" s="26" t="n">
        <f aca="false">K28/K8</f>
        <v>0.216877481763084</v>
      </c>
      <c r="L29" s="26" t="n">
        <f aca="false">L28/L8</f>
        <v>0.179936647579158</v>
      </c>
      <c r="M29" s="26" t="n">
        <f aca="false">M28/M8</f>
        <v>0.15895</v>
      </c>
      <c r="N29" s="26" t="n">
        <f aca="false">N28/N8</f>
        <v>0.17595</v>
      </c>
      <c r="O29" s="26" t="n">
        <f aca="false">O28/O8</f>
        <v>0.193375</v>
      </c>
      <c r="P29" s="26" t="n">
        <f aca="false">P28/P8</f>
        <v>0.211225</v>
      </c>
      <c r="Q29" s="26" t="n">
        <f aca="false">Q28/Q8</f>
        <v>0.2295</v>
      </c>
    </row>
    <row r="30" customFormat="false" ht="15" hidden="false" customHeight="false" outlineLevel="0" collapsed="false">
      <c r="A30" s="12" t="s">
        <v>201</v>
      </c>
      <c r="B30" s="48" t="n">
        <v>4491</v>
      </c>
      <c r="C30" s="48" t="n">
        <v>6733</v>
      </c>
      <c r="D30" s="48" t="n">
        <v>13915</v>
      </c>
      <c r="E30" s="48" t="n">
        <v>15650</v>
      </c>
      <c r="F30" s="48" t="n">
        <v>15115</v>
      </c>
      <c r="G30" s="48" t="n">
        <v>19240</v>
      </c>
      <c r="H30" s="48" t="n">
        <v>31431</v>
      </c>
      <c r="I30" s="48" t="n">
        <v>28100</v>
      </c>
      <c r="J30" s="48" t="n">
        <v>37256</v>
      </c>
      <c r="K30" s="48" t="n">
        <v>72220</v>
      </c>
    </row>
    <row r="31" customFormat="false" ht="15" hidden="false" customHeight="false" outlineLevel="0" collapsed="false">
      <c r="A31" s="12" t="s">
        <v>202</v>
      </c>
      <c r="B31" s="26" t="n">
        <f aca="false">B30/B8</f>
        <v>0.162493668138071</v>
      </c>
      <c r="C31" s="26" t="n">
        <f aca="false">C30/C8</f>
        <v>0.165621233365311</v>
      </c>
      <c r="D31" s="26" t="n">
        <f aca="false">D30/D8</f>
        <v>0.249203051685232</v>
      </c>
      <c r="E31" s="26" t="n">
        <f aca="false">E30/E8</f>
        <v>0.221367243305939</v>
      </c>
      <c r="F31" s="26" t="n">
        <f aca="false">F30/F8</f>
        <v>0.175827371604723</v>
      </c>
      <c r="G31" s="26" t="n">
        <f aca="false">G30/G8</f>
        <v>0.163149013389412</v>
      </c>
      <c r="H31" s="26" t="n">
        <f aca="false">H30/H8</f>
        <v>0.269541802090748</v>
      </c>
      <c r="I31" s="26" t="n">
        <f aca="false">I30/I8</f>
        <v>0.208299358052512</v>
      </c>
      <c r="J31" s="26" t="n">
        <f aca="false">J30/J8</f>
        <v>0.22647886638987</v>
      </c>
      <c r="K31" s="26" t="n">
        <f aca="false">K30/K8</f>
        <v>0.359364270573132</v>
      </c>
    </row>
    <row r="33" customFormat="false" ht="15" hidden="false" customHeight="false" outlineLevel="0" collapsed="false">
      <c r="A33" s="8" t="s">
        <v>203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false" outlineLevel="0" collapsed="false">
      <c r="A34" s="12" t="s">
        <v>204</v>
      </c>
      <c r="B34" s="48" t="n">
        <v>12427</v>
      </c>
      <c r="C34" s="48" t="n">
        <v>20203</v>
      </c>
      <c r="D34" s="48" t="n">
        <v>24913</v>
      </c>
      <c r="E34" s="48" t="n">
        <v>23986</v>
      </c>
      <c r="F34" s="48" t="n">
        <v>32671</v>
      </c>
      <c r="G34" s="48" t="n">
        <v>46753</v>
      </c>
      <c r="H34" s="48" t="n">
        <v>28944</v>
      </c>
      <c r="I34" s="48" t="n">
        <v>46751</v>
      </c>
      <c r="J34" s="48" t="n">
        <v>69380</v>
      </c>
      <c r="K34" s="48" t="n">
        <v>83276</v>
      </c>
    </row>
    <row r="35" customFormat="false" ht="15" hidden="false" customHeight="false" outlineLevel="0" collapsed="false">
      <c r="A35" s="12" t="s">
        <v>205</v>
      </c>
      <c r="B35" s="50" t="n">
        <f aca="false">B17-B34</f>
        <v>0</v>
      </c>
      <c r="C35" s="50" t="n">
        <f aca="false">C17-C34</f>
        <v>0</v>
      </c>
      <c r="D35" s="50" t="n">
        <f aca="false">D17-D34</f>
        <v>0</v>
      </c>
      <c r="E35" s="50" t="n">
        <f aca="false">E17-E34</f>
        <v>0</v>
      </c>
      <c r="F35" s="50" t="n">
        <f aca="false">F17-F34</f>
        <v>0</v>
      </c>
      <c r="G35" s="50" t="n">
        <f aca="false">G17-G34</f>
        <v>0</v>
      </c>
      <c r="H35" s="50" t="n">
        <f aca="false">H17-H34</f>
        <v>0</v>
      </c>
      <c r="I35" s="50" t="n">
        <f aca="false">I17-I34</f>
        <v>0</v>
      </c>
      <c r="J35" s="50" t="n">
        <f aca="false">J17-J34</f>
        <v>0</v>
      </c>
      <c r="K35" s="50" t="n">
        <f aca="false">K17-K34</f>
        <v>0</v>
      </c>
    </row>
    <row r="36" customFormat="false" ht="15" hidden="false" customHeight="false" outlineLevel="0" collapsed="false">
      <c r="A36" s="12" t="s">
        <v>206</v>
      </c>
      <c r="B36" s="48" t="n">
        <v>10217</v>
      </c>
      <c r="C36" s="48" t="n">
        <v>15934</v>
      </c>
      <c r="D36" s="48" t="n">
        <v>22112</v>
      </c>
      <c r="E36" s="48" t="n">
        <v>18485</v>
      </c>
      <c r="F36" s="48" t="n">
        <v>29146</v>
      </c>
      <c r="G36" s="48" t="n">
        <v>39370</v>
      </c>
      <c r="H36" s="48" t="n">
        <v>23200</v>
      </c>
      <c r="I36" s="48" t="n">
        <v>39098</v>
      </c>
      <c r="J36" s="48" t="n">
        <v>62360</v>
      </c>
      <c r="K36" s="48" t="n">
        <v>60458</v>
      </c>
    </row>
    <row r="37" customFormat="false" ht="15" hidden="false" customHeight="false" outlineLevel="0" collapsed="false">
      <c r="A37" s="12" t="s">
        <v>205</v>
      </c>
      <c r="B37" s="50" t="n">
        <f aca="false">B23-B36</f>
        <v>0</v>
      </c>
      <c r="C37" s="50" t="n">
        <f aca="false">C23-C36</f>
        <v>0</v>
      </c>
      <c r="D37" s="50" t="n">
        <f aca="false">D23-D36</f>
        <v>0</v>
      </c>
      <c r="E37" s="50" t="n">
        <f aca="false">E23-E36</f>
        <v>0</v>
      </c>
      <c r="F37" s="50" t="n">
        <f aca="false">F23-F36</f>
        <v>0</v>
      </c>
      <c r="G37" s="50" t="n">
        <f aca="false">G23-G36</f>
        <v>0</v>
      </c>
      <c r="H37" s="50" t="n">
        <f aca="false">H23-H36</f>
        <v>0</v>
      </c>
      <c r="I37" s="50" t="n">
        <f aca="false">I23-I36</f>
        <v>0</v>
      </c>
      <c r="J37" s="50" t="n">
        <f aca="false">J23-J36</f>
        <v>0</v>
      </c>
      <c r="K37" s="50" t="n">
        <f aca="false">K23-K36</f>
        <v>0</v>
      </c>
    </row>
    <row r="39" customFormat="false" ht="15" hidden="false" customHeight="false" outlineLevel="0" collapsed="false">
      <c r="A39" s="8" t="s">
        <v>207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false" outlineLevel="0" collapsed="false">
      <c r="A40" s="12" t="s">
        <v>208</v>
      </c>
      <c r="B40" s="52" t="n">
        <v>0.78</v>
      </c>
    </row>
    <row r="41" customFormat="false" ht="15" hidden="false" customHeight="false" outlineLevel="0" collapsed="false">
      <c r="A41" s="12" t="s">
        <v>209</v>
      </c>
      <c r="B41" s="52" t="n">
        <v>0.77</v>
      </c>
    </row>
    <row r="42" customFormat="false" ht="15" hidden="false" customHeight="false" outlineLevel="0" collapsed="false">
      <c r="A42" s="12" t="s">
        <v>210</v>
      </c>
      <c r="B42" s="21" t="n">
        <v>0.7</v>
      </c>
    </row>
    <row r="43" customFormat="false" ht="15" hidden="false" customHeight="false" outlineLevel="0" collapsed="false">
      <c r="A43" s="12" t="s">
        <v>211</v>
      </c>
      <c r="B43" s="22" t="n">
        <v>0.008</v>
      </c>
    </row>
    <row r="44" customFormat="false" ht="15" hidden="false" customHeight="false" outlineLevel="0" collapsed="false">
      <c r="A44" s="12" t="s">
        <v>212</v>
      </c>
      <c r="B44" s="21" t="n">
        <v>0</v>
      </c>
    </row>
    <row r="45" customFormat="false" ht="15" hidden="false" customHeight="false" outlineLevel="0" collapsed="false">
      <c r="A45" s="12" t="s">
        <v>213</v>
      </c>
      <c r="B45" s="15" t="n">
        <f aca="false">META!B11</f>
        <v>0.15</v>
      </c>
    </row>
    <row r="48" customFormat="false" ht="15" hidden="false" customHeight="false" outlineLevel="0" collapsed="false">
      <c r="A48" s="8" t="s">
        <v>214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false" outlineLevel="0" collapsed="false">
      <c r="A49" s="12" t="s">
        <v>215</v>
      </c>
      <c r="B49" s="26" t="n">
        <f aca="false">(K8/H8)^(1/3)-1</f>
        <v>0.198938314429393</v>
      </c>
    </row>
    <row r="50" customFormat="false" ht="15" hidden="false" customHeight="false" outlineLevel="0" collapsed="false">
      <c r="A50" s="12" t="s">
        <v>47</v>
      </c>
      <c r="B50" s="26" t="n">
        <f aca="false">(K8/F8)^(1/5)-1</f>
        <v>0.185114151787598</v>
      </c>
    </row>
    <row r="51" customFormat="false" ht="15" hidden="false" customHeight="false" outlineLevel="0" collapsed="false">
      <c r="A51" s="12" t="s">
        <v>216</v>
      </c>
      <c r="B51" s="26" t="n">
        <f aca="false">(K8/B8)^(1/9)-1</f>
        <v>0.246622922914172</v>
      </c>
    </row>
    <row r="52" customFormat="false" ht="15" hidden="false" customHeight="false" outlineLevel="0" collapsed="false">
      <c r="A52" s="12" t="s">
        <v>217</v>
      </c>
      <c r="B52" s="26" t="n">
        <f aca="false">(Q8/L8)^(1/5)-1</f>
        <v>0.118308330125378</v>
      </c>
    </row>
    <row r="53" customFormat="false" ht="15" hidden="false" customHeight="false" outlineLevel="0" collapsed="false">
      <c r="A53" s="12" t="s">
        <v>218</v>
      </c>
      <c r="B53" s="26" t="n">
        <f aca="false">AVERAGE(B18:K18)</f>
        <v>0.393944997000215</v>
      </c>
    </row>
    <row r="54" customFormat="false" ht="15" hidden="false" customHeight="false" outlineLevel="0" collapsed="false">
      <c r="A54" s="12" t="s">
        <v>219</v>
      </c>
      <c r="B54" s="26" t="n">
        <f aca="false">K18</f>
        <v>0.414378551595792</v>
      </c>
    </row>
    <row r="55" customFormat="false" ht="15" hidden="false" customHeight="false" outlineLevel="0" collapsed="false">
      <c r="A55" s="12" t="s">
        <v>220</v>
      </c>
      <c r="B55" s="26" t="n">
        <f aca="false">Q18</f>
        <v>0.36</v>
      </c>
    </row>
    <row r="56" customFormat="false" ht="15" hidden="false" customHeight="false" outlineLevel="0" collapsed="false">
      <c r="A56" s="12" t="s">
        <v>221</v>
      </c>
      <c r="B56" s="26" t="n">
        <f aca="false">(K26/B26)^(1/9)-1</f>
        <v>0.235836041696094</v>
      </c>
    </row>
    <row r="57" customFormat="false" ht="15" hidden="false" customHeight="false" outlineLevel="0" collapsed="false">
      <c r="A57" s="12" t="s">
        <v>222</v>
      </c>
      <c r="B57" s="26" t="n">
        <f aca="false">(Q26/L26)^(1/5)-1</f>
        <v>0.128220618181268</v>
      </c>
    </row>
    <row r="59" customFormat="false" ht="15" hidden="false" customHeight="false" outlineLevel="0" collapsed="false">
      <c r="A59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5" t="s">
        <v>242</v>
      </c>
    </row>
    <row r="2" customFormat="false" ht="15" hidden="false" customHeight="false" outlineLevel="0" collapsed="false">
      <c r="A2" s="6" t="s">
        <v>243</v>
      </c>
    </row>
    <row r="4" customFormat="false" ht="15" hidden="false" customHeight="false" outlineLevel="0" collapsed="false">
      <c r="A4" s="8" t="s">
        <v>244</v>
      </c>
      <c r="B4" s="9"/>
      <c r="C4" s="9"/>
      <c r="D4" s="9"/>
    </row>
    <row r="5" customFormat="false" ht="15" hidden="false" customHeight="false" outlineLevel="0" collapsed="false">
      <c r="A5" s="10" t="s">
        <v>26</v>
      </c>
      <c r="B5" s="11" t="s">
        <v>27</v>
      </c>
      <c r="C5" s="11" t="s">
        <v>28</v>
      </c>
      <c r="D5" s="10" t="s">
        <v>245</v>
      </c>
    </row>
    <row r="6" customFormat="false" ht="15" hidden="false" customHeight="false" outlineLevel="0" collapsed="false">
      <c r="A6" s="12" t="s">
        <v>29</v>
      </c>
      <c r="B6" s="13" t="n">
        <f aca="false">NVDA!B5</f>
        <v>222.27</v>
      </c>
      <c r="C6" s="13" t="n">
        <f aca="false">META!B5</f>
        <v>665.75</v>
      </c>
      <c r="D6" s="6" t="s">
        <v>246</v>
      </c>
    </row>
    <row r="7" customFormat="false" ht="15" hidden="false" customHeight="false" outlineLevel="0" collapsed="false">
      <c r="A7" s="12" t="s">
        <v>247</v>
      </c>
      <c r="B7" s="13" t="n">
        <f aca="false">NVDA_PnL!L26</f>
        <v>7.91</v>
      </c>
      <c r="C7" s="13" t="n">
        <f aca="false">META_PnL!L26</f>
        <v>26.54</v>
      </c>
      <c r="D7" s="6" t="s">
        <v>248</v>
      </c>
    </row>
    <row r="8" customFormat="false" ht="15" hidden="false" customHeight="false" outlineLevel="0" collapsed="false">
      <c r="A8" s="12" t="s">
        <v>249</v>
      </c>
      <c r="B8" s="32" t="n">
        <f aca="false">B6/B7</f>
        <v>28.0998735777497</v>
      </c>
      <c r="C8" s="32" t="n">
        <f aca="false">C6/C7</f>
        <v>25.0847776940467</v>
      </c>
      <c r="D8" s="6" t="s">
        <v>250</v>
      </c>
    </row>
    <row r="9" customFormat="false" ht="15" hidden="false" customHeight="false" outlineLevel="0" collapsed="false">
      <c r="A9" s="12" t="s">
        <v>251</v>
      </c>
      <c r="B9" s="53" t="n">
        <v>28.11</v>
      </c>
      <c r="C9" s="53" t="n">
        <v>25.09</v>
      </c>
      <c r="D9" s="6" t="s">
        <v>252</v>
      </c>
    </row>
    <row r="10" customFormat="false" ht="15" hidden="false" customHeight="false" outlineLevel="0" collapsed="false">
      <c r="A10" s="12" t="s">
        <v>253</v>
      </c>
      <c r="B10" s="53" t="n">
        <v>18.45</v>
      </c>
      <c r="C10" s="53" t="n">
        <v>20.57</v>
      </c>
      <c r="D10" s="6" t="s">
        <v>254</v>
      </c>
    </row>
    <row r="11" customFormat="false" ht="15" hidden="false" customHeight="false" outlineLevel="0" collapsed="false">
      <c r="A11" s="12" t="s">
        <v>255</v>
      </c>
      <c r="B11" s="35" t="n">
        <f aca="false">B6/B10</f>
        <v>12.0471544715447</v>
      </c>
      <c r="C11" s="35" t="n">
        <f aca="false">C6/C10</f>
        <v>32.3650947982499</v>
      </c>
      <c r="D11" s="6" t="s">
        <v>256</v>
      </c>
    </row>
    <row r="12" customFormat="false" ht="15" hidden="false" customHeight="false" outlineLevel="0" collapsed="false">
      <c r="A12" s="12" t="s">
        <v>257</v>
      </c>
      <c r="B12" s="23" t="n">
        <v>0.35</v>
      </c>
      <c r="C12" s="23" t="n">
        <v>1.02</v>
      </c>
      <c r="D12" s="6" t="s">
        <v>258</v>
      </c>
    </row>
    <row r="13" customFormat="false" ht="15" hidden="false" customHeight="false" outlineLevel="0" collapsed="false">
      <c r="A13" s="12" t="s">
        <v>259</v>
      </c>
      <c r="B13" s="53" t="n">
        <v>26.55</v>
      </c>
      <c r="C13" s="53" t="n">
        <v>15.67</v>
      </c>
      <c r="D13" s="6" t="s">
        <v>260</v>
      </c>
    </row>
    <row r="14" customFormat="false" ht="15" hidden="false" customHeight="false" outlineLevel="0" collapsed="false">
      <c r="A14" s="12" t="s">
        <v>261</v>
      </c>
      <c r="B14" s="53" t="n">
        <v>17.72</v>
      </c>
      <c r="C14" s="53" t="n">
        <v>7.43</v>
      </c>
      <c r="D14" s="6" t="s">
        <v>260</v>
      </c>
    </row>
    <row r="16" customFormat="false" ht="15" hidden="false" customHeight="false" outlineLevel="0" collapsed="false">
      <c r="A16" s="8" t="s">
        <v>262</v>
      </c>
      <c r="B16" s="9"/>
      <c r="C16" s="9"/>
      <c r="D16" s="9"/>
    </row>
    <row r="17" customFormat="false" ht="15" hidden="false" customHeight="false" outlineLevel="0" collapsed="false">
      <c r="A17" s="10" t="s">
        <v>26</v>
      </c>
      <c r="B17" s="11" t="s">
        <v>263</v>
      </c>
      <c r="C17" s="41"/>
      <c r="D17" s="10" t="s">
        <v>245</v>
      </c>
    </row>
    <row r="18" customFormat="false" ht="15" hidden="false" customHeight="false" outlineLevel="0" collapsed="false">
      <c r="A18" s="12" t="s">
        <v>264</v>
      </c>
      <c r="B18" s="53" t="n">
        <v>19.1</v>
      </c>
      <c r="D18" s="6" t="s">
        <v>265</v>
      </c>
    </row>
    <row r="19" customFormat="false" ht="15" hidden="false" customHeight="false" outlineLevel="0" collapsed="false">
      <c r="A19" s="12" t="s">
        <v>266</v>
      </c>
      <c r="B19" s="53" t="n">
        <v>19.8</v>
      </c>
      <c r="D19" s="6" t="s">
        <v>265</v>
      </c>
    </row>
    <row r="20" customFormat="false" ht="15" hidden="false" customHeight="false" outlineLevel="0" collapsed="false">
      <c r="A20" s="12" t="s">
        <v>267</v>
      </c>
      <c r="B20" s="53" t="n">
        <v>19</v>
      </c>
      <c r="D20" s="6" t="s">
        <v>265</v>
      </c>
    </row>
    <row r="21" customFormat="false" ht="15" hidden="false" customHeight="false" outlineLevel="0" collapsed="false">
      <c r="A21" s="12" t="s">
        <v>268</v>
      </c>
      <c r="B21" s="53" t="n">
        <v>25.5</v>
      </c>
      <c r="D21" s="6" t="s">
        <v>265</v>
      </c>
    </row>
    <row r="22" customFormat="false" ht="15" hidden="false" customHeight="false" outlineLevel="0" collapsed="false">
      <c r="A22" s="12" t="s">
        <v>269</v>
      </c>
      <c r="B22" s="53" t="n">
        <v>61.52</v>
      </c>
      <c r="D22" s="6" t="s">
        <v>270</v>
      </c>
    </row>
    <row r="23" customFormat="false" ht="15" hidden="false" customHeight="false" outlineLevel="0" collapsed="false">
      <c r="A23" s="12" t="s">
        <v>271</v>
      </c>
      <c r="B23" s="53" t="n">
        <v>15.5</v>
      </c>
      <c r="D23" s="6" t="s">
        <v>272</v>
      </c>
    </row>
    <row r="24" customFormat="false" ht="15" hidden="false" customHeight="false" outlineLevel="0" collapsed="false">
      <c r="A24" s="12" t="s">
        <v>273</v>
      </c>
      <c r="B24" s="53" t="n">
        <v>12.63</v>
      </c>
      <c r="D24" s="6" t="s">
        <v>274</v>
      </c>
    </row>
    <row r="26" customFormat="false" ht="15" hidden="false" customHeight="false" outlineLevel="0" collapsed="false">
      <c r="A26" s="10" t="s">
        <v>275</v>
      </c>
      <c r="B26" s="11" t="s">
        <v>27</v>
      </c>
      <c r="C26" s="11" t="s">
        <v>28</v>
      </c>
      <c r="D26" s="41"/>
    </row>
    <row r="27" customFormat="false" ht="15" hidden="false" customHeight="false" outlineLevel="0" collapsed="false">
      <c r="A27" s="12" t="s">
        <v>45</v>
      </c>
      <c r="B27" s="32" t="n">
        <f aca="false">B22</f>
        <v>61.52</v>
      </c>
      <c r="C27" s="32" t="n">
        <f aca="false">B23</f>
        <v>15.5</v>
      </c>
      <c r="D27" s="6" t="s">
        <v>276</v>
      </c>
    </row>
    <row r="28" customFormat="false" ht="15" hidden="false" customHeight="false" outlineLevel="0" collapsed="false">
      <c r="A28" s="12" t="s">
        <v>277</v>
      </c>
      <c r="B28" s="54" t="s">
        <v>278</v>
      </c>
      <c r="C28" s="32" t="n">
        <f aca="false">B24</f>
        <v>12.63</v>
      </c>
    </row>
    <row r="30" customFormat="false" ht="15" hidden="false" customHeight="false" outlineLevel="0" collapsed="false">
      <c r="A30" s="8" t="s">
        <v>279</v>
      </c>
      <c r="B30" s="9"/>
      <c r="C30" s="9"/>
      <c r="D30" s="9"/>
    </row>
    <row r="31" customFormat="false" ht="15" hidden="false" customHeight="false" outlineLevel="0" collapsed="false">
      <c r="A31" s="10" t="s">
        <v>26</v>
      </c>
      <c r="B31" s="11" t="s">
        <v>27</v>
      </c>
      <c r="C31" s="11" t="s">
        <v>28</v>
      </c>
      <c r="D31" s="10" t="s">
        <v>245</v>
      </c>
    </row>
    <row r="32" customFormat="false" ht="15" hidden="false" customHeight="false" outlineLevel="0" collapsed="false">
      <c r="A32" s="12" t="s">
        <v>280</v>
      </c>
      <c r="B32" s="55" t="n">
        <f aca="false">B9/$B$21-1</f>
        <v>0.102352941176471</v>
      </c>
      <c r="C32" s="55" t="n">
        <f aca="false">C9/$B$21-1</f>
        <v>-0.0160784313725491</v>
      </c>
    </row>
    <row r="33" customFormat="false" ht="15" hidden="false" customHeight="false" outlineLevel="0" collapsed="false">
      <c r="A33" s="12" t="s">
        <v>281</v>
      </c>
      <c r="B33" s="55" t="n">
        <f aca="false">B9/B27-1</f>
        <v>-0.543075422626788</v>
      </c>
      <c r="C33" s="55" t="n">
        <f aca="false">C9/C27-1</f>
        <v>0.618709677419355</v>
      </c>
    </row>
    <row r="34" customFormat="false" ht="15" hidden="false" customHeight="false" outlineLevel="0" collapsed="false">
      <c r="A34" s="12" t="s">
        <v>282</v>
      </c>
      <c r="B34" s="55" t="n">
        <f aca="false">B10/$B$18-1</f>
        <v>-0.0340314136125656</v>
      </c>
      <c r="C34" s="55" t="n">
        <f aca="false">C10/$B$18-1</f>
        <v>0.0769633507853402</v>
      </c>
    </row>
    <row r="35" customFormat="false" ht="15" hidden="false" customHeight="false" outlineLevel="0" collapsed="false">
      <c r="A35" s="12" t="s">
        <v>283</v>
      </c>
      <c r="B35" s="55" t="n">
        <f aca="false">B10/$B$20-1</f>
        <v>-0.0289473684210527</v>
      </c>
      <c r="C35" s="55" t="n">
        <f aca="false">C10/$B$20-1</f>
        <v>0.0826315789473684</v>
      </c>
    </row>
    <row r="36" customFormat="false" ht="15" hidden="false" customHeight="false" outlineLevel="0" collapsed="false">
      <c r="A36" s="12" t="s">
        <v>284</v>
      </c>
      <c r="B36" s="55" t="str">
        <f aca="false">IF(ISNUMBER(B28),B10/B28-1,"n/a")</f>
        <v>n/a</v>
      </c>
      <c r="C36" s="55" t="n">
        <f aca="false">IF(ISNUMBER(C28),C10/C28-1,"n/a")</f>
        <v>0.628661916072842</v>
      </c>
    </row>
    <row r="38" customFormat="false" ht="15" hidden="false" customHeight="false" outlineLevel="0" collapsed="false">
      <c r="A38" s="8" t="s">
        <v>285</v>
      </c>
      <c r="B38" s="9"/>
      <c r="C38" s="9"/>
      <c r="D38" s="9"/>
    </row>
    <row r="39" customFormat="false" ht="15" hidden="false" customHeight="false" outlineLevel="0" collapsed="false">
      <c r="A39" s="10" t="s">
        <v>26</v>
      </c>
      <c r="B39" s="11" t="s">
        <v>27</v>
      </c>
      <c r="C39" s="11" t="s">
        <v>28</v>
      </c>
      <c r="D39" s="10" t="s">
        <v>245</v>
      </c>
    </row>
    <row r="40" customFormat="false" ht="15" hidden="false" customHeight="false" outlineLevel="0" collapsed="false">
      <c r="A40" s="12" t="s">
        <v>286</v>
      </c>
      <c r="B40" s="13" t="n">
        <f aca="false">NVDA!D58</f>
        <v>141.623455385411</v>
      </c>
      <c r="C40" s="13" t="n">
        <f aca="false">META!D58</f>
        <v>456.843177782755</v>
      </c>
      <c r="D40" s="6" t="s">
        <v>287</v>
      </c>
    </row>
    <row r="41" customFormat="false" ht="15" hidden="false" customHeight="false" outlineLevel="0" collapsed="false">
      <c r="A41" s="12" t="s">
        <v>288</v>
      </c>
      <c r="B41" s="32" t="n">
        <f aca="false">B40/B11</f>
        <v>11.7557598949963</v>
      </c>
      <c r="C41" s="32" t="n">
        <f aca="false">C40/C11</f>
        <v>14.1153047945794</v>
      </c>
      <c r="D41" s="6" t="s">
        <v>289</v>
      </c>
    </row>
    <row r="42" customFormat="false" ht="15" hidden="false" customHeight="false" outlineLevel="0" collapsed="false">
      <c r="A42" s="12" t="s">
        <v>290</v>
      </c>
      <c r="B42" s="26" t="n">
        <f aca="false">B41/$B$18-1</f>
        <v>-0.384515188743649</v>
      </c>
      <c r="C42" s="26" t="n">
        <f aca="false">C41/$B$18-1</f>
        <v>-0.260978806566521</v>
      </c>
      <c r="D42" s="6"/>
    </row>
    <row r="43" customFormat="false" ht="15" hidden="false" customHeight="false" outlineLevel="0" collapsed="false">
      <c r="A43" s="12" t="s">
        <v>291</v>
      </c>
      <c r="B43" s="13" t="n">
        <f aca="false">NVDA_PnL!M26</f>
        <v>9.87949456017954</v>
      </c>
      <c r="C43" s="13" t="n">
        <f aca="false">META_PnL!M26</f>
        <v>30.7981351981352</v>
      </c>
      <c r="D43" s="6" t="s">
        <v>292</v>
      </c>
    </row>
    <row r="44" customFormat="false" ht="15" hidden="false" customHeight="false" outlineLevel="0" collapsed="false">
      <c r="A44" s="12" t="s">
        <v>293</v>
      </c>
      <c r="B44" s="32" t="n">
        <f aca="false">B6/B43</f>
        <v>22.4981145185185</v>
      </c>
      <c r="C44" s="32" t="n">
        <f aca="false">C6/C43</f>
        <v>21.6165685265357</v>
      </c>
      <c r="D44" s="6" t="s">
        <v>294</v>
      </c>
    </row>
    <row r="45" customFormat="false" ht="15" hidden="false" customHeight="false" outlineLevel="0" collapsed="false">
      <c r="A45" s="12" t="s">
        <v>295</v>
      </c>
      <c r="B45" s="26" t="n">
        <f aca="false">B11/B43-1</f>
        <v>0.219410001003714</v>
      </c>
      <c r="C45" s="26" t="n">
        <f aca="false">C11/C43-1</f>
        <v>0.0508783921504949</v>
      </c>
      <c r="D45" s="6" t="s">
        <v>296</v>
      </c>
    </row>
    <row r="46" customFormat="false" ht="15" hidden="false" customHeight="false" outlineLevel="0" collapsed="false">
      <c r="A46" s="12" t="s">
        <v>297</v>
      </c>
      <c r="B46" s="32" t="n">
        <f aca="false">B40/B7</f>
        <v>17.9043559273592</v>
      </c>
      <c r="C46" s="32" t="n">
        <f aca="false">C40/C7</f>
        <v>17.2133827348438</v>
      </c>
      <c r="D46" s="6" t="s">
        <v>298</v>
      </c>
    </row>
    <row r="48" customFormat="false" ht="15" hidden="false" customHeight="false" outlineLevel="0" collapsed="false">
      <c r="A48" s="6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9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5" t="s">
        <v>300</v>
      </c>
    </row>
    <row r="2" customFormat="false" ht="15" hidden="false" customHeight="false" outlineLevel="0" collapsed="false">
      <c r="A2" s="6" t="s">
        <v>301</v>
      </c>
    </row>
    <row r="4" customFormat="false" ht="15" hidden="false" customHeight="false" outlineLevel="0" collapsed="false">
      <c r="A4" s="8" t="s">
        <v>302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10"/>
      <c r="B5" s="10" t="s">
        <v>303</v>
      </c>
      <c r="C5" s="10" t="s">
        <v>27</v>
      </c>
      <c r="D5" s="10" t="s">
        <v>28</v>
      </c>
    </row>
    <row r="6" customFormat="false" ht="15" hidden="false" customHeight="false" outlineLevel="0" collapsed="false">
      <c r="B6" s="12" t="s">
        <v>304</v>
      </c>
      <c r="C6" s="12" t="s">
        <v>305</v>
      </c>
      <c r="D6" s="12" t="s">
        <v>306</v>
      </c>
    </row>
    <row r="7" customFormat="false" ht="15" hidden="false" customHeight="false" outlineLevel="0" collapsed="false">
      <c r="B7" s="12" t="s">
        <v>307</v>
      </c>
      <c r="C7" s="12" t="s">
        <v>308</v>
      </c>
      <c r="D7" s="12" t="s">
        <v>306</v>
      </c>
    </row>
    <row r="8" customFormat="false" ht="15" hidden="false" customHeight="false" outlineLevel="0" collapsed="false">
      <c r="B8" s="12" t="s">
        <v>309</v>
      </c>
      <c r="C8" s="12" t="s">
        <v>305</v>
      </c>
      <c r="D8" s="12" t="s">
        <v>306</v>
      </c>
    </row>
    <row r="9" customFormat="false" ht="15" hidden="false" customHeight="false" outlineLevel="0" collapsed="false">
      <c r="B9" s="12" t="s">
        <v>310</v>
      </c>
      <c r="C9" s="12" t="s">
        <v>306</v>
      </c>
      <c r="D9" s="12" t="s">
        <v>306</v>
      </c>
    </row>
    <row r="10" customFormat="false" ht="15" hidden="false" customHeight="false" outlineLevel="0" collapsed="false">
      <c r="B10" s="12" t="s">
        <v>311</v>
      </c>
      <c r="C10" s="12" t="s">
        <v>306</v>
      </c>
      <c r="D10" s="12" t="s">
        <v>308</v>
      </c>
    </row>
    <row r="11" customFormat="false" ht="15" hidden="false" customHeight="false" outlineLevel="0" collapsed="false">
      <c r="B11" s="12" t="s">
        <v>312</v>
      </c>
      <c r="C11" s="12" t="s">
        <v>306</v>
      </c>
      <c r="D11" s="12" t="s">
        <v>308</v>
      </c>
    </row>
    <row r="12" customFormat="false" ht="15" hidden="false" customHeight="false" outlineLevel="0" collapsed="false">
      <c r="B12" s="12" t="s">
        <v>313</v>
      </c>
      <c r="C12" s="12" t="s">
        <v>306</v>
      </c>
      <c r="D12" s="12" t="s">
        <v>305</v>
      </c>
    </row>
    <row r="14" customFormat="false" ht="15" hidden="false" customHeight="false" outlineLevel="0" collapsed="false">
      <c r="A14" s="8" t="s">
        <v>314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10" t="s">
        <v>315</v>
      </c>
      <c r="B15" s="10" t="s">
        <v>303</v>
      </c>
      <c r="C15" s="10" t="s">
        <v>316</v>
      </c>
      <c r="D15" s="10" t="s">
        <v>141</v>
      </c>
      <c r="E15" s="10" t="s">
        <v>317</v>
      </c>
      <c r="F15" s="10" t="s">
        <v>318</v>
      </c>
      <c r="G15" s="10" t="s">
        <v>319</v>
      </c>
    </row>
    <row r="16" customFormat="false" ht="43.5" hidden="false" customHeight="true" outlineLevel="0" collapsed="false">
      <c r="A16" s="12" t="s">
        <v>27</v>
      </c>
      <c r="B16" s="12" t="s">
        <v>311</v>
      </c>
      <c r="C16" s="56" t="s">
        <v>320</v>
      </c>
      <c r="D16" s="4" t="s">
        <v>321</v>
      </c>
      <c r="E16" s="12" t="s">
        <v>322</v>
      </c>
      <c r="F16" s="4" t="s">
        <v>323</v>
      </c>
      <c r="G16" s="6" t="s">
        <v>324</v>
      </c>
    </row>
    <row r="17" customFormat="false" ht="43.5" hidden="false" customHeight="true" outlineLevel="0" collapsed="false">
      <c r="A17" s="12" t="s">
        <v>27</v>
      </c>
      <c r="B17" s="12" t="s">
        <v>325</v>
      </c>
      <c r="C17" s="56" t="s">
        <v>326</v>
      </c>
      <c r="D17" s="4" t="s">
        <v>327</v>
      </c>
      <c r="E17" s="12" t="s">
        <v>322</v>
      </c>
      <c r="F17" s="4" t="s">
        <v>328</v>
      </c>
      <c r="G17" s="6" t="s">
        <v>329</v>
      </c>
    </row>
    <row r="18" customFormat="false" ht="43.5" hidden="false" customHeight="true" outlineLevel="0" collapsed="false">
      <c r="A18" s="12" t="s">
        <v>27</v>
      </c>
      <c r="B18" s="12" t="s">
        <v>330</v>
      </c>
      <c r="C18" s="56" t="s">
        <v>331</v>
      </c>
      <c r="D18" s="4" t="s">
        <v>332</v>
      </c>
      <c r="E18" s="12" t="s">
        <v>333</v>
      </c>
      <c r="F18" s="4" t="s">
        <v>334</v>
      </c>
      <c r="G18" s="6" t="s">
        <v>335</v>
      </c>
    </row>
    <row r="19" customFormat="false" ht="43.5" hidden="false" customHeight="true" outlineLevel="0" collapsed="false">
      <c r="A19" s="12" t="s">
        <v>27</v>
      </c>
      <c r="B19" s="12" t="s">
        <v>307</v>
      </c>
      <c r="C19" s="56" t="s">
        <v>336</v>
      </c>
      <c r="D19" s="4" t="s">
        <v>337</v>
      </c>
      <c r="E19" s="12" t="s">
        <v>338</v>
      </c>
      <c r="F19" s="4" t="s">
        <v>339</v>
      </c>
      <c r="G19" s="6" t="s">
        <v>340</v>
      </c>
    </row>
    <row r="20" customFormat="false" ht="43.5" hidden="false" customHeight="true" outlineLevel="0" collapsed="false">
      <c r="A20" s="12" t="s">
        <v>27</v>
      </c>
      <c r="B20" s="12" t="s">
        <v>313</v>
      </c>
      <c r="C20" s="56" t="s">
        <v>341</v>
      </c>
      <c r="D20" s="4" t="s">
        <v>342</v>
      </c>
      <c r="E20" s="12" t="s">
        <v>338</v>
      </c>
      <c r="F20" s="4" t="s">
        <v>343</v>
      </c>
      <c r="G20" s="6" t="s">
        <v>344</v>
      </c>
    </row>
    <row r="21" customFormat="false" ht="43.5" hidden="false" customHeight="true" outlineLevel="0" collapsed="false">
      <c r="A21" s="12" t="s">
        <v>27</v>
      </c>
      <c r="B21" s="12" t="s">
        <v>345</v>
      </c>
      <c r="C21" s="56" t="s">
        <v>346</v>
      </c>
      <c r="D21" s="4" t="s">
        <v>347</v>
      </c>
      <c r="E21" s="12" t="s">
        <v>348</v>
      </c>
      <c r="F21" s="4" t="s">
        <v>349</v>
      </c>
      <c r="G21" s="6" t="s">
        <v>350</v>
      </c>
    </row>
    <row r="23" customFormat="false" ht="15" hidden="false" customHeight="false" outlineLevel="0" collapsed="false">
      <c r="A23" s="8" t="s">
        <v>351</v>
      </c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10" t="s">
        <v>315</v>
      </c>
      <c r="B24" s="10" t="s">
        <v>303</v>
      </c>
      <c r="C24" s="10" t="s">
        <v>316</v>
      </c>
      <c r="D24" s="10" t="s">
        <v>141</v>
      </c>
      <c r="E24" s="10" t="s">
        <v>317</v>
      </c>
      <c r="F24" s="10" t="s">
        <v>318</v>
      </c>
      <c r="G24" s="10" t="s">
        <v>319</v>
      </c>
    </row>
    <row r="25" customFormat="false" ht="43.5" hidden="false" customHeight="true" outlineLevel="0" collapsed="false">
      <c r="A25" s="12" t="s">
        <v>28</v>
      </c>
      <c r="B25" s="12" t="s">
        <v>304</v>
      </c>
      <c r="C25" s="56" t="s">
        <v>352</v>
      </c>
      <c r="D25" s="4" t="s">
        <v>353</v>
      </c>
      <c r="E25" s="12" t="s">
        <v>333</v>
      </c>
      <c r="F25" s="4" t="s">
        <v>354</v>
      </c>
      <c r="G25" s="6" t="s">
        <v>350</v>
      </c>
    </row>
    <row r="26" customFormat="false" ht="43.5" hidden="false" customHeight="true" outlineLevel="0" collapsed="false">
      <c r="A26" s="12" t="s">
        <v>28</v>
      </c>
      <c r="B26" s="12" t="s">
        <v>355</v>
      </c>
      <c r="C26" s="56" t="s">
        <v>356</v>
      </c>
      <c r="D26" s="4" t="s">
        <v>357</v>
      </c>
      <c r="E26" s="12" t="s">
        <v>333</v>
      </c>
      <c r="F26" s="4" t="s">
        <v>358</v>
      </c>
      <c r="G26" s="6" t="s">
        <v>340</v>
      </c>
    </row>
    <row r="27" customFormat="false" ht="43.5" hidden="false" customHeight="true" outlineLevel="0" collapsed="false">
      <c r="A27" s="12" t="s">
        <v>28</v>
      </c>
      <c r="B27" s="12" t="s">
        <v>309</v>
      </c>
      <c r="C27" s="56" t="s">
        <v>359</v>
      </c>
      <c r="D27" s="4" t="s">
        <v>360</v>
      </c>
      <c r="E27" s="12" t="s">
        <v>338</v>
      </c>
      <c r="F27" s="4" t="s">
        <v>361</v>
      </c>
      <c r="G27" s="6" t="s">
        <v>362</v>
      </c>
    </row>
    <row r="28" customFormat="false" ht="43.5" hidden="false" customHeight="true" outlineLevel="0" collapsed="false">
      <c r="A28" s="12" t="s">
        <v>28</v>
      </c>
      <c r="B28" s="12" t="s">
        <v>330</v>
      </c>
      <c r="C28" s="56" t="s">
        <v>363</v>
      </c>
      <c r="D28" s="4" t="s">
        <v>332</v>
      </c>
      <c r="E28" s="12" t="s">
        <v>333</v>
      </c>
      <c r="F28" s="4" t="s">
        <v>364</v>
      </c>
      <c r="G28" s="6" t="s">
        <v>335</v>
      </c>
    </row>
    <row r="29" customFormat="false" ht="43.5" hidden="false" customHeight="true" outlineLevel="0" collapsed="false">
      <c r="A29" s="12" t="s">
        <v>28</v>
      </c>
      <c r="B29" s="12" t="s">
        <v>365</v>
      </c>
      <c r="C29" s="56" t="s">
        <v>366</v>
      </c>
      <c r="D29" s="4" t="s">
        <v>357</v>
      </c>
      <c r="E29" s="12" t="s">
        <v>333</v>
      </c>
      <c r="F29" s="4" t="s">
        <v>367</v>
      </c>
      <c r="G29" s="6" t="s">
        <v>324</v>
      </c>
    </row>
    <row r="30" customFormat="false" ht="43.5" hidden="false" customHeight="true" outlineLevel="0" collapsed="false">
      <c r="A30" s="12" t="s">
        <v>28</v>
      </c>
      <c r="B30" s="12" t="s">
        <v>368</v>
      </c>
      <c r="C30" s="56" t="s">
        <v>369</v>
      </c>
      <c r="D30" s="4" t="s">
        <v>370</v>
      </c>
      <c r="E30" s="12" t="s">
        <v>322</v>
      </c>
      <c r="F30" s="4" t="s">
        <v>371</v>
      </c>
      <c r="G30" s="6" t="s">
        <v>372</v>
      </c>
    </row>
    <row r="32" customFormat="false" ht="15" hidden="false" customHeight="false" outlineLevel="0" collapsed="false">
      <c r="A32" s="6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6" min="5" style="0" width="70"/>
  </cols>
  <sheetData>
    <row r="1" customFormat="false" ht="17.35" hidden="false" customHeight="false" outlineLevel="0" collapsed="false">
      <c r="A1" s="5" t="s">
        <v>374</v>
      </c>
    </row>
    <row r="2" customFormat="false" ht="15" hidden="false" customHeight="false" outlineLevel="0" collapsed="false">
      <c r="A2" s="6" t="s">
        <v>375</v>
      </c>
    </row>
    <row r="4" customFormat="false" ht="15" hidden="false" customHeight="false" outlineLevel="0" collapsed="false">
      <c r="A4" s="8" t="s">
        <v>376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377</v>
      </c>
      <c r="B5" s="10" t="s">
        <v>27</v>
      </c>
      <c r="C5" s="10" t="s">
        <v>28</v>
      </c>
      <c r="D5" s="10" t="s">
        <v>378</v>
      </c>
      <c r="E5" s="10" t="s">
        <v>379</v>
      </c>
      <c r="F5" s="10" t="s">
        <v>380</v>
      </c>
    </row>
    <row r="6" customFormat="false" ht="27.75" hidden="false" customHeight="true" outlineLevel="0" collapsed="false">
      <c r="A6" s="12" t="s">
        <v>381</v>
      </c>
      <c r="B6" s="57" t="n">
        <v>8</v>
      </c>
      <c r="C6" s="57" t="n">
        <v>7</v>
      </c>
      <c r="D6" s="58" t="n">
        <v>0.2</v>
      </c>
      <c r="E6" s="4" t="s">
        <v>382</v>
      </c>
      <c r="F6" s="4" t="s">
        <v>383</v>
      </c>
    </row>
    <row r="7" customFormat="false" ht="27.75" hidden="false" customHeight="true" outlineLevel="0" collapsed="false">
      <c r="A7" s="12" t="s">
        <v>384</v>
      </c>
      <c r="B7" s="57" t="n">
        <v>10</v>
      </c>
      <c r="C7" s="57" t="n">
        <v>8</v>
      </c>
      <c r="D7" s="58" t="n">
        <v>0.2</v>
      </c>
      <c r="E7" s="4" t="s">
        <v>385</v>
      </c>
      <c r="F7" s="4" t="s">
        <v>386</v>
      </c>
    </row>
    <row r="8" customFormat="false" ht="27.75" hidden="false" customHeight="true" outlineLevel="0" collapsed="false">
      <c r="A8" s="12" t="s">
        <v>387</v>
      </c>
      <c r="B8" s="57" t="n">
        <v>10</v>
      </c>
      <c r="C8" s="57" t="n">
        <v>6</v>
      </c>
      <c r="D8" s="58" t="n">
        <v>0.2</v>
      </c>
      <c r="E8" s="4" t="s">
        <v>388</v>
      </c>
      <c r="F8" s="4" t="s">
        <v>389</v>
      </c>
    </row>
    <row r="9" customFormat="false" ht="27.75" hidden="false" customHeight="true" outlineLevel="0" collapsed="false">
      <c r="A9" s="12" t="s">
        <v>390</v>
      </c>
      <c r="B9" s="57" t="n">
        <v>9</v>
      </c>
      <c r="C9" s="57" t="n">
        <v>4</v>
      </c>
      <c r="D9" s="58" t="n">
        <v>0.2</v>
      </c>
      <c r="E9" s="4" t="s">
        <v>391</v>
      </c>
      <c r="F9" s="4" t="s">
        <v>392</v>
      </c>
    </row>
    <row r="10" customFormat="false" ht="23.85" hidden="false" customHeight="false" outlineLevel="0" collapsed="false">
      <c r="A10" s="12" t="s">
        <v>393</v>
      </c>
      <c r="B10" s="16" t="n">
        <f aca="false">MAX(1,MIN(10,ROUND(6+10*(NVDA!D58/NVDA!B5-1),0)))</f>
        <v>2</v>
      </c>
      <c r="C10" s="16" t="n">
        <f aca="false">MAX(1,MIN(10,ROUND(6+10*(META!D58/META!B5-1),0)))</f>
        <v>3</v>
      </c>
      <c r="D10" s="58" t="n">
        <v>0.2</v>
      </c>
      <c r="E10" s="4" t="s">
        <v>394</v>
      </c>
    </row>
    <row r="11" customFormat="false" ht="15" hidden="false" customHeight="false" outlineLevel="0" collapsed="false">
      <c r="A11" s="6" t="s">
        <v>395</v>
      </c>
      <c r="D11" s="59" t="n">
        <f aca="false">SUM(D6:D10)</f>
        <v>1</v>
      </c>
    </row>
    <row r="13" customFormat="false" ht="15" hidden="false" customHeight="false" outlineLevel="0" collapsed="false">
      <c r="A13" s="7" t="s">
        <v>40</v>
      </c>
      <c r="B13" s="60" t="n">
        <f aca="false">SUMPRODUCT(B6:B10,$D$6:$D$10)/SUM($D$6:$D$10)*10</f>
        <v>78</v>
      </c>
      <c r="C13" s="60" t="n">
        <f aca="false">SUMPRODUCT(C6:C10,$D$6:$D$10)/SUM($D$6:$D$10)*10</f>
        <v>56</v>
      </c>
    </row>
    <row r="14" customFormat="false" ht="15" hidden="false" customHeight="false" outlineLevel="0" collapsed="false">
      <c r="A14" s="12" t="s">
        <v>396</v>
      </c>
      <c r="B14" s="12" t="str">
        <f aca="false">IF(B13&gt;=80,"Exceptional",IF(B13&gt;=65,"Strong",IF(B13&gt;=50,"Mixed","Weak")))</f>
        <v>Strong</v>
      </c>
      <c r="C14" s="12" t="str">
        <f aca="false">IF(C13&gt;=80,"Exceptional",IF(C13&gt;=65,"Strong",IF(C13&gt;=50,"Mixed","Weak")))</f>
        <v>Mixed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2026-09-19T12:46:14Z</dcterms:created>
  <dc:creator>openpyxl</dc:creator>
  <dc:description/>
  <dc:language>en-US</dc:language>
  <cp:lastModifiedBy/>
  <dcterms:modified xsi:type="dcterms:W3CDTF">2026-09-19T12:46:14Z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